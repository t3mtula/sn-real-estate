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X:\ค่าเช่าส่วนตัวคุณสมบัติ-คุณนภา\2569\"/>
    </mc:Choice>
  </mc:AlternateContent>
  <xr:revisionPtr revIDLastSave="0" documentId="13_ncr:1_{FA579D45-9FE4-4FB2-9515-35087FD368B4}" xr6:coauthVersionLast="47" xr6:coauthVersionMax="47" xr10:uidLastSave="{00000000-0000-0000-0000-000000000000}"/>
  <bookViews>
    <workbookView xWindow="-120" yWindow="-120" windowWidth="29040" windowHeight="15720" tabRatio="913" activeTab="1" xr2:uid="{00000000-000D-0000-FFFF-FFFF00000000}"/>
  </bookViews>
  <sheets>
    <sheet name="ที่ดินให้เช่าของกรรมการ 69" sheetId="31" r:id="rId1"/>
    <sheet name="ค่าเช่าซอยมายเฮ้าส์" sheetId="24" r:id="rId2"/>
    <sheet name="ที่ดินไม่มีผู้เช่า" sheetId="30" r:id="rId3"/>
    <sheet name="สรุป5-69" sheetId="124" r:id="rId4"/>
    <sheet name="สรุป 4-69" sheetId="121" r:id="rId5"/>
    <sheet name="สรุป 3-69" sheetId="120" r:id="rId6"/>
    <sheet name="สรุป 2-69" sheetId="117" r:id="rId7"/>
    <sheet name="สรุป 1-69" sheetId="115" r:id="rId8"/>
    <sheet name="5-69" sheetId="123" r:id="rId9"/>
    <sheet name="4-69" sheetId="122" r:id="rId10"/>
    <sheet name="3-69" sheetId="119" r:id="rId11"/>
    <sheet name="2-69" sheetId="116" r:id="rId12"/>
    <sheet name="1-69" sheetId="113" r:id="rId13"/>
  </sheets>
  <definedNames>
    <definedName name="_xlnm._FilterDatabase" localSheetId="1" hidden="1">ค่าเช่าซอยมายเฮ้าส์!$A$4:$T$4</definedName>
    <definedName name="_xlnm._FilterDatabase" localSheetId="2" hidden="1">ที่ดินไม่มีผู้เช่า!$A$4:$AF$54</definedName>
    <definedName name="_xlnm._FilterDatabase" localSheetId="0" hidden="1">'ที่ดินให้เช่าของกรรมการ 69'!$A$4:$AF$42</definedName>
    <definedName name="_xlnm.Print_Area" localSheetId="12">'1-69'!$A$1:$P$48</definedName>
    <definedName name="_xlnm.Print_Area" localSheetId="11">'2-69'!$A$1:$P$47</definedName>
    <definedName name="_xlnm.Print_Area" localSheetId="10">'3-69'!$A$1:$P$47</definedName>
    <definedName name="_xlnm.Print_Area" localSheetId="9">'4-69'!$A$1:$P$47</definedName>
    <definedName name="_xlnm.Print_Area" localSheetId="8">'5-69'!$A$1:$P$48</definedName>
    <definedName name="_xlnm.Print_Area" localSheetId="1">ค่าเช่าซอยมายเฮ้าส์!$A$1:$L$23</definedName>
    <definedName name="_xlnm.Print_Area" localSheetId="2">ที่ดินไม่มีผู้เช่า!$A$1:$AE$54</definedName>
    <definedName name="_xlnm.Print_Area" localSheetId="0">'ที่ดินให้เช่าของกรรมการ 69'!$A$1:$AF$42</definedName>
    <definedName name="_xlnm.Print_Area" localSheetId="7">'สรุป 1-69'!$A$1:$Q$25</definedName>
    <definedName name="_xlnm.Print_Area" localSheetId="6">'สรุป 2-69'!$A$1:$Q$25</definedName>
    <definedName name="_xlnm.Print_Area" localSheetId="5">'สรุป 3-69'!$A$1:$Q$24</definedName>
    <definedName name="_xlnm.Print_Area" localSheetId="4">'สรุป 4-69'!$A$1:$Q$24</definedName>
    <definedName name="_xlnm.Print_Area" localSheetId="3">'สรุป5-69'!$A$1:$Q$27</definedName>
    <definedName name="_xlnm.Print_Titles" localSheetId="12">'1-69'!$1:$5</definedName>
    <definedName name="_xlnm.Print_Titles" localSheetId="11">'2-69'!$1:$5</definedName>
    <definedName name="_xlnm.Print_Titles" localSheetId="10">'3-69'!$1:$5</definedName>
    <definedName name="_xlnm.Print_Titles" localSheetId="9">'4-69'!$1:$5</definedName>
    <definedName name="_xlnm.Print_Titles" localSheetId="8">'5-69'!$1:$5</definedName>
    <definedName name="_xlnm.Print_Titles" localSheetId="2">ที่ดินไม่มีผู้เช่า!$1:$4</definedName>
    <definedName name="_xlnm.Print_Titles" localSheetId="0">'ที่ดินให้เช่าของกรรมการ 69'!$1:$4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2" i="123" l="1"/>
  <c r="Q23" i="124"/>
  <c r="Q26" i="124"/>
  <c r="R26" i="124" s="1"/>
  <c r="J17" i="124"/>
  <c r="J8" i="124"/>
  <c r="J7" i="124"/>
  <c r="G29" i="124"/>
  <c r="M23" i="124"/>
  <c r="M25" i="124" s="1"/>
  <c r="L23" i="124"/>
  <c r="J23" i="124"/>
  <c r="J26" i="124" s="1"/>
  <c r="Q5" i="124" s="1"/>
  <c r="H23" i="124"/>
  <c r="K23" i="123"/>
  <c r="P23" i="123" s="1"/>
  <c r="J16" i="124"/>
  <c r="I47" i="123"/>
  <c r="I14" i="123"/>
  <c r="K14" i="123"/>
  <c r="N14" i="123"/>
  <c r="K13" i="123"/>
  <c r="K40" i="123"/>
  <c r="O40" i="123" s="1"/>
  <c r="A42" i="123"/>
  <c r="A43" i="123" s="1"/>
  <c r="A44" i="123" s="1"/>
  <c r="A45" i="123" s="1"/>
  <c r="A46" i="123" s="1"/>
  <c r="K42" i="123"/>
  <c r="K47" i="123" s="1"/>
  <c r="W31" i="31"/>
  <c r="U42" i="31"/>
  <c r="V42" i="31"/>
  <c r="T42" i="31"/>
  <c r="I27" i="124"/>
  <c r="I26" i="124"/>
  <c r="Q25" i="124"/>
  <c r="Q24" i="124"/>
  <c r="H26" i="124"/>
  <c r="Q4" i="124" s="1"/>
  <c r="F23" i="124"/>
  <c r="F25" i="124" s="1"/>
  <c r="F27" i="124" s="1"/>
  <c r="Q22" i="124"/>
  <c r="L56" i="123"/>
  <c r="K60" i="123" s="1"/>
  <c r="L54" i="123"/>
  <c r="Q52" i="123"/>
  <c r="P51" i="123"/>
  <c r="O51" i="123"/>
  <c r="N51" i="123"/>
  <c r="M51" i="123"/>
  <c r="P47" i="123"/>
  <c r="N47" i="123"/>
  <c r="M47" i="123"/>
  <c r="L47" i="123"/>
  <c r="J47" i="123"/>
  <c r="H47" i="123"/>
  <c r="G47" i="123"/>
  <c r="F47" i="123"/>
  <c r="E47" i="123"/>
  <c r="K46" i="123"/>
  <c r="K45" i="123"/>
  <c r="K44" i="123"/>
  <c r="K43" i="123"/>
  <c r="K41" i="123"/>
  <c r="O41" i="123" s="1"/>
  <c r="K39" i="123"/>
  <c r="O39" i="123" s="1"/>
  <c r="K38" i="123"/>
  <c r="K37" i="123"/>
  <c r="O37" i="123" s="1"/>
  <c r="K36" i="123"/>
  <c r="O36" i="123" s="1"/>
  <c r="O35" i="123"/>
  <c r="K35" i="123"/>
  <c r="K34" i="123"/>
  <c r="K33" i="123"/>
  <c r="K32" i="123"/>
  <c r="O31" i="123"/>
  <c r="N31" i="123"/>
  <c r="M31" i="123"/>
  <c r="L31" i="123"/>
  <c r="J31" i="123"/>
  <c r="H31" i="123"/>
  <c r="H48" i="123" s="1"/>
  <c r="G31" i="123"/>
  <c r="F31" i="123"/>
  <c r="E31" i="123"/>
  <c r="K30" i="123"/>
  <c r="P30" i="123" s="1"/>
  <c r="K29" i="123"/>
  <c r="P29" i="123" s="1"/>
  <c r="K28" i="123"/>
  <c r="P28" i="123" s="1"/>
  <c r="K27" i="123"/>
  <c r="P27" i="123" s="1"/>
  <c r="K26" i="123"/>
  <c r="P26" i="123" s="1"/>
  <c r="K25" i="123"/>
  <c r="P25" i="123" s="1"/>
  <c r="K24" i="123"/>
  <c r="P24" i="123" s="1"/>
  <c r="K22" i="123"/>
  <c r="P22" i="123" s="1"/>
  <c r="K21" i="123"/>
  <c r="P21" i="123" s="1"/>
  <c r="P20" i="123"/>
  <c r="K19" i="123"/>
  <c r="P19" i="123" s="1"/>
  <c r="K18" i="123"/>
  <c r="P18" i="123" s="1"/>
  <c r="K17" i="123"/>
  <c r="P17" i="123" s="1"/>
  <c r="K16" i="123"/>
  <c r="P16" i="123" s="1"/>
  <c r="K15" i="123"/>
  <c r="P14" i="123"/>
  <c r="O14" i="123"/>
  <c r="M14" i="123"/>
  <c r="L14" i="123"/>
  <c r="J14" i="123"/>
  <c r="H14" i="123"/>
  <c r="G14" i="123"/>
  <c r="F14" i="123"/>
  <c r="E14" i="123"/>
  <c r="P12" i="123"/>
  <c r="O12" i="123"/>
  <c r="N12" i="123"/>
  <c r="L12" i="123"/>
  <c r="J12" i="123"/>
  <c r="I12" i="123"/>
  <c r="H12" i="123"/>
  <c r="G12" i="123"/>
  <c r="F12" i="123"/>
  <c r="E12" i="123"/>
  <c r="K11" i="123"/>
  <c r="M11" i="123" s="1"/>
  <c r="K10" i="123"/>
  <c r="M10" i="123" s="1"/>
  <c r="K9" i="123"/>
  <c r="M9" i="123" s="1"/>
  <c r="K8" i="123"/>
  <c r="M8" i="123" s="1"/>
  <c r="A8" i="123"/>
  <c r="A9" i="123" s="1"/>
  <c r="A10" i="123" s="1"/>
  <c r="A11" i="123" s="1"/>
  <c r="A13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2" i="123" s="1"/>
  <c r="A33" i="123" s="1"/>
  <c r="A34" i="123" s="1"/>
  <c r="A35" i="123" s="1"/>
  <c r="A36" i="123" s="1"/>
  <c r="A37" i="123" s="1"/>
  <c r="A38" i="123" s="1"/>
  <c r="A39" i="123" s="1"/>
  <c r="A40" i="123" s="1"/>
  <c r="A41" i="123" s="1"/>
  <c r="K7" i="123"/>
  <c r="R21" i="124" l="1"/>
  <c r="M26" i="124"/>
  <c r="Q7" i="124" s="1"/>
  <c r="O42" i="123"/>
  <c r="O47" i="123" s="1"/>
  <c r="O48" i="123" s="1"/>
  <c r="O53" i="123" s="1"/>
  <c r="N48" i="123"/>
  <c r="N53" i="123" s="1"/>
  <c r="N54" i="123" s="1"/>
  <c r="I48" i="123"/>
  <c r="F48" i="123"/>
  <c r="K12" i="123"/>
  <c r="J48" i="123"/>
  <c r="L48" i="123"/>
  <c r="E48" i="123"/>
  <c r="J3" i="124" s="1"/>
  <c r="K31" i="123"/>
  <c r="G48" i="123"/>
  <c r="H25" i="124"/>
  <c r="H27" i="124" s="1"/>
  <c r="H29" i="124" s="1"/>
  <c r="L26" i="124"/>
  <c r="Q6" i="124" s="1"/>
  <c r="L25" i="124"/>
  <c r="Q9" i="124"/>
  <c r="J25" i="124"/>
  <c r="J27" i="124" s="1"/>
  <c r="J29" i="124" s="1"/>
  <c r="M12" i="123"/>
  <c r="M48" i="123" s="1"/>
  <c r="M53" i="123" s="1"/>
  <c r="P15" i="123"/>
  <c r="P31" i="123" s="1"/>
  <c r="P48" i="123" s="1"/>
  <c r="P53" i="123" s="1"/>
  <c r="Q8" i="124" l="1"/>
  <c r="Q10" i="124" s="1"/>
  <c r="R10" i="124" s="1"/>
  <c r="L27" i="124"/>
  <c r="L29" i="124" s="1"/>
  <c r="M27" i="124"/>
  <c r="M29" i="124" s="1"/>
  <c r="N55" i="123"/>
  <c r="N56" i="123" s="1"/>
  <c r="K48" i="123"/>
  <c r="J18" i="124" s="1"/>
  <c r="M54" i="123"/>
  <c r="Q53" i="123"/>
  <c r="M55" i="123"/>
  <c r="P54" i="123"/>
  <c r="P55" i="123"/>
  <c r="P56" i="123" s="1"/>
  <c r="O60" i="123" s="1"/>
  <c r="O54" i="123"/>
  <c r="O55" i="123"/>
  <c r="O56" i="123" s="1"/>
  <c r="N60" i="123" s="1"/>
  <c r="R24" i="124" l="1"/>
  <c r="R8" i="124"/>
  <c r="Q27" i="124"/>
  <c r="Q55" i="123"/>
  <c r="Q56" i="123" s="1"/>
  <c r="Q54" i="123"/>
  <c r="M56" i="123"/>
  <c r="R56" i="123" l="1"/>
  <c r="K31" i="122" l="1"/>
  <c r="P24" i="122"/>
  <c r="K24" i="122"/>
  <c r="L20" i="121"/>
  <c r="H26" i="121"/>
  <c r="G26" i="121"/>
  <c r="J12" i="121"/>
  <c r="J7" i="121"/>
  <c r="O45" i="122"/>
  <c r="O44" i="122"/>
  <c r="O42" i="122"/>
  <c r="P20" i="122"/>
  <c r="L55" i="122"/>
  <c r="K59" i="122" s="1"/>
  <c r="L53" i="122"/>
  <c r="Q51" i="122"/>
  <c r="P50" i="122"/>
  <c r="O50" i="122"/>
  <c r="N50" i="122"/>
  <c r="M50" i="122"/>
  <c r="P46" i="122"/>
  <c r="N46" i="122"/>
  <c r="N47" i="122" s="1"/>
  <c r="N52" i="122" s="1"/>
  <c r="M46" i="122"/>
  <c r="L46" i="122"/>
  <c r="L47" i="122" s="1"/>
  <c r="J46" i="122"/>
  <c r="H46" i="122"/>
  <c r="G46" i="122"/>
  <c r="F46" i="122"/>
  <c r="E46" i="122"/>
  <c r="K45" i="122"/>
  <c r="K44" i="122"/>
  <c r="K43" i="122"/>
  <c r="K42" i="122"/>
  <c r="K41" i="122"/>
  <c r="O41" i="122" s="1"/>
  <c r="K39" i="122"/>
  <c r="O39" i="122" s="1"/>
  <c r="K38" i="122"/>
  <c r="K37" i="122"/>
  <c r="O37" i="122" s="1"/>
  <c r="O36" i="122"/>
  <c r="K36" i="122"/>
  <c r="K35" i="122"/>
  <c r="K34" i="122"/>
  <c r="K33" i="122"/>
  <c r="K32" i="122"/>
  <c r="O31" i="122"/>
  <c r="N31" i="122"/>
  <c r="M31" i="122"/>
  <c r="L31" i="122"/>
  <c r="J31" i="122"/>
  <c r="J47" i="122" s="1"/>
  <c r="H31" i="122"/>
  <c r="G31" i="122"/>
  <c r="G47" i="122" s="1"/>
  <c r="F31" i="122"/>
  <c r="E31" i="122"/>
  <c r="K30" i="122"/>
  <c r="P30" i="122" s="1"/>
  <c r="K29" i="122"/>
  <c r="P29" i="122" s="1"/>
  <c r="K28" i="122"/>
  <c r="P28" i="122" s="1"/>
  <c r="K27" i="122"/>
  <c r="P27" i="122" s="1"/>
  <c r="K26" i="122"/>
  <c r="P26" i="122" s="1"/>
  <c r="K25" i="122"/>
  <c r="P25" i="122" s="1"/>
  <c r="K22" i="122"/>
  <c r="P22" i="122" s="1"/>
  <c r="K21" i="122"/>
  <c r="P21" i="122" s="1"/>
  <c r="K19" i="122"/>
  <c r="P19" i="122" s="1"/>
  <c r="K18" i="122"/>
  <c r="P18" i="122" s="1"/>
  <c r="K17" i="122"/>
  <c r="P17" i="122" s="1"/>
  <c r="K16" i="122"/>
  <c r="P16" i="122" s="1"/>
  <c r="K15" i="122"/>
  <c r="P15" i="122" s="1"/>
  <c r="P14" i="122"/>
  <c r="O14" i="122"/>
  <c r="N14" i="122"/>
  <c r="M14" i="122"/>
  <c r="L14" i="122"/>
  <c r="J14" i="122"/>
  <c r="I14" i="122"/>
  <c r="I47" i="122" s="1"/>
  <c r="H14" i="122"/>
  <c r="G14" i="122"/>
  <c r="F14" i="122"/>
  <c r="E14" i="122"/>
  <c r="K13" i="122"/>
  <c r="K14" i="122" s="1"/>
  <c r="P12" i="122"/>
  <c r="O12" i="122"/>
  <c r="N12" i="122"/>
  <c r="L12" i="122"/>
  <c r="J12" i="122"/>
  <c r="I12" i="122"/>
  <c r="H12" i="122"/>
  <c r="G12" i="122"/>
  <c r="F12" i="122"/>
  <c r="E12" i="122"/>
  <c r="K11" i="122"/>
  <c r="K12" i="122" s="1"/>
  <c r="K10" i="122"/>
  <c r="M10" i="122" s="1"/>
  <c r="K9" i="122"/>
  <c r="M9" i="122" s="1"/>
  <c r="A9" i="122"/>
  <c r="A10" i="122" s="1"/>
  <c r="A11" i="122" s="1"/>
  <c r="A13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A24" i="122" s="1"/>
  <c r="A25" i="122" s="1"/>
  <c r="A26" i="122" s="1"/>
  <c r="A27" i="122" s="1"/>
  <c r="A28" i="122" s="1"/>
  <c r="A29" i="122" s="1"/>
  <c r="A30" i="122" s="1"/>
  <c r="A32" i="122" s="1"/>
  <c r="A33" i="122" s="1"/>
  <c r="A34" i="122" s="1"/>
  <c r="A35" i="122" s="1"/>
  <c r="A36" i="122" s="1"/>
  <c r="A37" i="122" s="1"/>
  <c r="A38" i="122" s="1"/>
  <c r="A39" i="122" s="1"/>
  <c r="A40" i="122" s="1"/>
  <c r="A41" i="122" s="1"/>
  <c r="A42" i="122" s="1"/>
  <c r="A43" i="122" s="1"/>
  <c r="A44" i="122" s="1"/>
  <c r="A45" i="122" s="1"/>
  <c r="M8" i="122"/>
  <c r="K8" i="122"/>
  <c r="A8" i="122"/>
  <c r="K7" i="122"/>
  <c r="I24" i="121"/>
  <c r="I23" i="121"/>
  <c r="Q22" i="121"/>
  <c r="Q21" i="121"/>
  <c r="L22" i="121"/>
  <c r="J20" i="121"/>
  <c r="J23" i="121" s="1"/>
  <c r="Q5" i="121" s="1"/>
  <c r="H20" i="121"/>
  <c r="H23" i="121" s="1"/>
  <c r="Q4" i="121" s="1"/>
  <c r="F20" i="121"/>
  <c r="Q9" i="121" s="1"/>
  <c r="Q19" i="121"/>
  <c r="F47" i="122" l="1"/>
  <c r="P31" i="122"/>
  <c r="P47" i="122" s="1"/>
  <c r="E47" i="122"/>
  <c r="J3" i="121" s="1"/>
  <c r="J8" i="121" s="1"/>
  <c r="J13" i="121" s="1"/>
  <c r="H47" i="122"/>
  <c r="K46" i="122"/>
  <c r="N53" i="122"/>
  <c r="N54" i="122"/>
  <c r="N55" i="122"/>
  <c r="M11" i="122"/>
  <c r="M12" i="122" s="1"/>
  <c r="M47" i="122" s="1"/>
  <c r="M52" i="122" s="1"/>
  <c r="O35" i="122"/>
  <c r="O46" i="122" s="1"/>
  <c r="O47" i="122" s="1"/>
  <c r="O52" i="122" s="1"/>
  <c r="H22" i="121"/>
  <c r="H24" i="121" s="1"/>
  <c r="L23" i="121"/>
  <c r="Q6" i="121" s="1"/>
  <c r="J22" i="121"/>
  <c r="J24" i="121" s="1"/>
  <c r="J26" i="121" s="1"/>
  <c r="F22" i="121"/>
  <c r="F24" i="121" s="1"/>
  <c r="G26" i="120"/>
  <c r="R20" i="120"/>
  <c r="M20" i="120"/>
  <c r="L20" i="120"/>
  <c r="J14" i="120"/>
  <c r="J13" i="120"/>
  <c r="J12" i="120"/>
  <c r="J3" i="120"/>
  <c r="J6" i="120" s="1"/>
  <c r="I24" i="120"/>
  <c r="I23" i="120"/>
  <c r="Q22" i="120"/>
  <c r="Q21" i="120"/>
  <c r="L22" i="120"/>
  <c r="J20" i="120"/>
  <c r="J23" i="120" s="1"/>
  <c r="Q5" i="120" s="1"/>
  <c r="H20" i="120"/>
  <c r="H22" i="120" s="1"/>
  <c r="F20" i="120"/>
  <c r="F22" i="120" s="1"/>
  <c r="F24" i="120" s="1"/>
  <c r="Q19" i="120"/>
  <c r="Q9" i="120"/>
  <c r="O40" i="119"/>
  <c r="K39" i="119"/>
  <c r="O39" i="119" s="1"/>
  <c r="K40" i="119"/>
  <c r="K41" i="119"/>
  <c r="L55" i="119"/>
  <c r="K59" i="119" s="1"/>
  <c r="L53" i="119"/>
  <c r="Q51" i="119"/>
  <c r="P50" i="119"/>
  <c r="O50" i="119"/>
  <c r="N50" i="119"/>
  <c r="M50" i="119"/>
  <c r="I47" i="119"/>
  <c r="H47" i="119"/>
  <c r="P46" i="119"/>
  <c r="N46" i="119"/>
  <c r="M46" i="119"/>
  <c r="L46" i="119"/>
  <c r="L47" i="119" s="1"/>
  <c r="J46" i="119"/>
  <c r="J47" i="119" s="1"/>
  <c r="H46" i="119"/>
  <c r="G46" i="119"/>
  <c r="G47" i="119" s="1"/>
  <c r="F46" i="119"/>
  <c r="E46" i="119"/>
  <c r="K45" i="119"/>
  <c r="K44" i="119"/>
  <c r="K43" i="119"/>
  <c r="K42" i="119"/>
  <c r="O41" i="119"/>
  <c r="K38" i="119"/>
  <c r="O37" i="119"/>
  <c r="K37" i="119"/>
  <c r="K36" i="119"/>
  <c r="O36" i="119" s="1"/>
  <c r="K35" i="119"/>
  <c r="O35" i="119" s="1"/>
  <c r="K34" i="119"/>
  <c r="K33" i="119"/>
  <c r="K32" i="119"/>
  <c r="K46" i="119" s="1"/>
  <c r="O31" i="119"/>
  <c r="N31" i="119"/>
  <c r="M31" i="119"/>
  <c r="L31" i="119"/>
  <c r="J31" i="119"/>
  <c r="H31" i="119"/>
  <c r="G31" i="119"/>
  <c r="F31" i="119"/>
  <c r="F47" i="119" s="1"/>
  <c r="E31" i="119"/>
  <c r="K30" i="119"/>
  <c r="P30" i="119" s="1"/>
  <c r="K29" i="119"/>
  <c r="P29" i="119" s="1"/>
  <c r="K28" i="119"/>
  <c r="P28" i="119" s="1"/>
  <c r="K27" i="119"/>
  <c r="P27" i="119" s="1"/>
  <c r="K26" i="119"/>
  <c r="P26" i="119" s="1"/>
  <c r="K25" i="119"/>
  <c r="P25" i="119" s="1"/>
  <c r="K22" i="119"/>
  <c r="K21" i="119"/>
  <c r="P21" i="119" s="1"/>
  <c r="K19" i="119"/>
  <c r="P19" i="119" s="1"/>
  <c r="K18" i="119"/>
  <c r="P18" i="119" s="1"/>
  <c r="K17" i="119"/>
  <c r="P17" i="119" s="1"/>
  <c r="K16" i="119"/>
  <c r="P16" i="119" s="1"/>
  <c r="K15" i="119"/>
  <c r="P15" i="119" s="1"/>
  <c r="P14" i="119"/>
  <c r="O14" i="119"/>
  <c r="N14" i="119"/>
  <c r="N47" i="119" s="1"/>
  <c r="N52" i="119" s="1"/>
  <c r="M14" i="119"/>
  <c r="L14" i="119"/>
  <c r="J14" i="119"/>
  <c r="I14" i="119"/>
  <c r="H14" i="119"/>
  <c r="G14" i="119"/>
  <c r="F14" i="119"/>
  <c r="E14" i="119"/>
  <c r="K13" i="119"/>
  <c r="K14" i="119" s="1"/>
  <c r="P12" i="119"/>
  <c r="O12" i="119"/>
  <c r="N12" i="119"/>
  <c r="L12" i="119"/>
  <c r="J12" i="119"/>
  <c r="I12" i="119"/>
  <c r="H12" i="119"/>
  <c r="G12" i="119"/>
  <c r="F12" i="119"/>
  <c r="E12" i="119"/>
  <c r="K11" i="119"/>
  <c r="M11" i="119" s="1"/>
  <c r="K10" i="119"/>
  <c r="M10" i="119" s="1"/>
  <c r="M9" i="119"/>
  <c r="K9" i="119"/>
  <c r="K8" i="119"/>
  <c r="M8" i="119" s="1"/>
  <c r="M12" i="119" s="1"/>
  <c r="A8" i="119"/>
  <c r="A9" i="119" s="1"/>
  <c r="A10" i="119" s="1"/>
  <c r="A11" i="119" s="1"/>
  <c r="A13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2" i="119" s="1"/>
  <c r="A33" i="119" s="1"/>
  <c r="A34" i="119" s="1"/>
  <c r="A35" i="119" s="1"/>
  <c r="A36" i="119" s="1"/>
  <c r="A37" i="119" s="1"/>
  <c r="A38" i="119" s="1"/>
  <c r="A39" i="119" s="1"/>
  <c r="A40" i="119" s="1"/>
  <c r="A41" i="119" s="1"/>
  <c r="A42" i="119" s="1"/>
  <c r="A43" i="119" s="1"/>
  <c r="A44" i="119" s="1"/>
  <c r="A45" i="119" s="1"/>
  <c r="K7" i="119"/>
  <c r="K6" i="119"/>
  <c r="P52" i="122" l="1"/>
  <c r="P54" i="122" s="1"/>
  <c r="P55" i="122" s="1"/>
  <c r="O59" i="122" s="1"/>
  <c r="M20" i="121"/>
  <c r="K47" i="122"/>
  <c r="J14" i="121" s="1"/>
  <c r="M53" i="122"/>
  <c r="M54" i="122"/>
  <c r="O53" i="122"/>
  <c r="O54" i="122"/>
  <c r="O55" i="122" s="1"/>
  <c r="N59" i="122" s="1"/>
  <c r="L24" i="121"/>
  <c r="L26" i="121" s="1"/>
  <c r="Q20" i="120"/>
  <c r="L23" i="120"/>
  <c r="Q6" i="120" s="1"/>
  <c r="M23" i="120"/>
  <c r="Q7" i="120" s="1"/>
  <c r="J22" i="120"/>
  <c r="J24" i="120" s="1"/>
  <c r="J26" i="120" s="1"/>
  <c r="M22" i="120"/>
  <c r="M24" i="120" s="1"/>
  <c r="H23" i="120"/>
  <c r="Q4" i="120" s="1"/>
  <c r="Q8" i="120" s="1"/>
  <c r="Q10" i="120" s="1"/>
  <c r="R10" i="120" s="1"/>
  <c r="K31" i="119"/>
  <c r="K47" i="119" s="1"/>
  <c r="E47" i="119"/>
  <c r="N53" i="119"/>
  <c r="N54" i="119"/>
  <c r="N55" i="119"/>
  <c r="O46" i="119"/>
  <c r="O47" i="119" s="1"/>
  <c r="O52" i="119" s="1"/>
  <c r="M47" i="119"/>
  <c r="M52" i="119" s="1"/>
  <c r="K12" i="119"/>
  <c r="P22" i="119"/>
  <c r="P31" i="119" s="1"/>
  <c r="P47" i="119" s="1"/>
  <c r="P52" i="119" s="1"/>
  <c r="J13" i="117"/>
  <c r="M21" i="117"/>
  <c r="J21" i="117"/>
  <c r="J3" i="117"/>
  <c r="J6" i="117" s="1"/>
  <c r="Q20" i="121" l="1"/>
  <c r="R20" i="121" s="1"/>
  <c r="M22" i="121"/>
  <c r="M23" i="121"/>
  <c r="P53" i="122"/>
  <c r="Q53" i="122" s="1"/>
  <c r="Q52" i="122"/>
  <c r="Q54" i="122"/>
  <c r="M55" i="122"/>
  <c r="H24" i="120"/>
  <c r="H26" i="120" s="1"/>
  <c r="L24" i="120"/>
  <c r="L26" i="120" s="1"/>
  <c r="M26" i="120"/>
  <c r="Q24" i="120"/>
  <c r="Q23" i="120"/>
  <c r="R23" i="120" s="1"/>
  <c r="P53" i="119"/>
  <c r="P54" i="119"/>
  <c r="P55" i="119" s="1"/>
  <c r="O59" i="119" s="1"/>
  <c r="O53" i="119"/>
  <c r="O54" i="119"/>
  <c r="O55" i="119" s="1"/>
  <c r="N59" i="119" s="1"/>
  <c r="M55" i="119"/>
  <c r="M53" i="119"/>
  <c r="Q52" i="119"/>
  <c r="M54" i="119"/>
  <c r="J14" i="117"/>
  <c r="Q55" i="122" l="1"/>
  <c r="Q23" i="121"/>
  <c r="Q7" i="121"/>
  <c r="Q8" i="121" s="1"/>
  <c r="M24" i="121"/>
  <c r="R55" i="122"/>
  <c r="Q53" i="119"/>
  <c r="Q54" i="119"/>
  <c r="Q55" i="119" s="1"/>
  <c r="R55" i="119" s="1"/>
  <c r="I25" i="117"/>
  <c r="I24" i="117"/>
  <c r="Q22" i="117"/>
  <c r="J24" i="117"/>
  <c r="Q5" i="117" s="1"/>
  <c r="F21" i="117"/>
  <c r="Q9" i="117" s="1"/>
  <c r="Q20" i="117"/>
  <c r="L55" i="116"/>
  <c r="K59" i="116" s="1"/>
  <c r="L53" i="116"/>
  <c r="Q51" i="116"/>
  <c r="P50" i="116"/>
  <c r="O50" i="116"/>
  <c r="N50" i="116"/>
  <c r="M50" i="116"/>
  <c r="P46" i="116"/>
  <c r="N46" i="116"/>
  <c r="M46" i="116"/>
  <c r="L46" i="116"/>
  <c r="J46" i="116"/>
  <c r="H46" i="116"/>
  <c r="G46" i="116"/>
  <c r="F46" i="116"/>
  <c r="E46" i="116"/>
  <c r="K45" i="116"/>
  <c r="K44" i="116"/>
  <c r="K43" i="116"/>
  <c r="K42" i="116"/>
  <c r="K41" i="116"/>
  <c r="O41" i="116" s="1"/>
  <c r="K39" i="116"/>
  <c r="O39" i="116" s="1"/>
  <c r="K38" i="116"/>
  <c r="K37" i="116"/>
  <c r="O37" i="116" s="1"/>
  <c r="K36" i="116"/>
  <c r="O36" i="116" s="1"/>
  <c r="K35" i="116"/>
  <c r="O35" i="116" s="1"/>
  <c r="K34" i="116"/>
  <c r="K33" i="116"/>
  <c r="K32" i="116"/>
  <c r="O31" i="116"/>
  <c r="N31" i="116"/>
  <c r="M31" i="116"/>
  <c r="L31" i="116"/>
  <c r="J31" i="116"/>
  <c r="H31" i="116"/>
  <c r="G31" i="116"/>
  <c r="F31" i="116"/>
  <c r="E31" i="116"/>
  <c r="K30" i="116"/>
  <c r="P30" i="116" s="1"/>
  <c r="K29" i="116"/>
  <c r="P29" i="116" s="1"/>
  <c r="K28" i="116"/>
  <c r="P28" i="116" s="1"/>
  <c r="K27" i="116"/>
  <c r="P27" i="116" s="1"/>
  <c r="K26" i="116"/>
  <c r="P26" i="116" s="1"/>
  <c r="K25" i="116"/>
  <c r="P25" i="116" s="1"/>
  <c r="K22" i="116"/>
  <c r="P22" i="116" s="1"/>
  <c r="K21" i="116"/>
  <c r="P21" i="116" s="1"/>
  <c r="K19" i="116"/>
  <c r="P19" i="116" s="1"/>
  <c r="K18" i="116"/>
  <c r="P18" i="116" s="1"/>
  <c r="K17" i="116"/>
  <c r="P17" i="116" s="1"/>
  <c r="K16" i="116"/>
  <c r="P16" i="116" s="1"/>
  <c r="K15" i="116"/>
  <c r="P15" i="116" s="1"/>
  <c r="P14" i="116"/>
  <c r="O14" i="116"/>
  <c r="N14" i="116"/>
  <c r="M14" i="116"/>
  <c r="L14" i="116"/>
  <c r="K14" i="116"/>
  <c r="J14" i="116"/>
  <c r="I14" i="116"/>
  <c r="H14" i="116"/>
  <c r="G14" i="116"/>
  <c r="F14" i="116"/>
  <c r="E14" i="116"/>
  <c r="K13" i="116"/>
  <c r="P12" i="116"/>
  <c r="O12" i="116"/>
  <c r="N12" i="116"/>
  <c r="L12" i="116"/>
  <c r="J12" i="116"/>
  <c r="I12" i="116"/>
  <c r="H12" i="116"/>
  <c r="G12" i="116"/>
  <c r="F12" i="116"/>
  <c r="E12" i="116"/>
  <c r="K11" i="116"/>
  <c r="M11" i="116" s="1"/>
  <c r="K10" i="116"/>
  <c r="M10" i="116" s="1"/>
  <c r="K9" i="116"/>
  <c r="M9" i="116" s="1"/>
  <c r="A9" i="116"/>
  <c r="A10" i="116" s="1"/>
  <c r="A11" i="116" s="1"/>
  <c r="A13" i="116" s="1"/>
  <c r="A15" i="116" s="1"/>
  <c r="A16" i="116" s="1"/>
  <c r="A17" i="116" s="1"/>
  <c r="A18" i="116" s="1"/>
  <c r="A19" i="116" s="1"/>
  <c r="A20" i="116" s="1"/>
  <c r="A21" i="116" s="1"/>
  <c r="A22" i="116" s="1"/>
  <c r="A23" i="116" s="1"/>
  <c r="A24" i="116" s="1"/>
  <c r="A25" i="116" s="1"/>
  <c r="A26" i="116" s="1"/>
  <c r="A27" i="116" s="1"/>
  <c r="A28" i="116" s="1"/>
  <c r="A29" i="116" s="1"/>
  <c r="A30" i="116" s="1"/>
  <c r="A32" i="116" s="1"/>
  <c r="A33" i="116" s="1"/>
  <c r="A34" i="116" s="1"/>
  <c r="A35" i="116" s="1"/>
  <c r="A36" i="116" s="1"/>
  <c r="A37" i="116" s="1"/>
  <c r="A38" i="116" s="1"/>
  <c r="A39" i="116" s="1"/>
  <c r="A40" i="116" s="1"/>
  <c r="A41" i="116" s="1"/>
  <c r="A42" i="116" s="1"/>
  <c r="A43" i="116" s="1"/>
  <c r="A44" i="116" s="1"/>
  <c r="A45" i="116" s="1"/>
  <c r="K8" i="116"/>
  <c r="M8" i="116" s="1"/>
  <c r="A8" i="116"/>
  <c r="K7" i="116"/>
  <c r="K6" i="116"/>
  <c r="R23" i="121" l="1"/>
  <c r="Q10" i="121"/>
  <c r="R10" i="121" s="1"/>
  <c r="R8" i="121"/>
  <c r="M26" i="121"/>
  <c r="Q24" i="121"/>
  <c r="F23" i="117"/>
  <c r="M12" i="116"/>
  <c r="N47" i="116"/>
  <c r="N52" i="116" s="1"/>
  <c r="N53" i="116" s="1"/>
  <c r="I47" i="116"/>
  <c r="L47" i="116"/>
  <c r="F47" i="116"/>
  <c r="H47" i="116"/>
  <c r="K46" i="116"/>
  <c r="E47" i="116"/>
  <c r="J47" i="116"/>
  <c r="K12" i="116"/>
  <c r="G47" i="116"/>
  <c r="M24" i="117"/>
  <c r="M23" i="117"/>
  <c r="N54" i="116"/>
  <c r="N55" i="116"/>
  <c r="M47" i="116"/>
  <c r="P31" i="116"/>
  <c r="P47" i="116" s="1"/>
  <c r="P52" i="116" s="1"/>
  <c r="O46" i="116"/>
  <c r="O47" i="116" s="1"/>
  <c r="K31" i="116"/>
  <c r="M52" i="116" l="1"/>
  <c r="H21" i="117"/>
  <c r="O52" i="116"/>
  <c r="L21" i="117"/>
  <c r="F25" i="117"/>
  <c r="G27" i="117" s="1"/>
  <c r="M25" i="117"/>
  <c r="M27" i="117" s="1"/>
  <c r="K47" i="116"/>
  <c r="J15" i="117" s="1"/>
  <c r="Q7" i="117"/>
  <c r="O53" i="116"/>
  <c r="O54" i="116"/>
  <c r="O55" i="116" s="1"/>
  <c r="N59" i="116" s="1"/>
  <c r="P53" i="116"/>
  <c r="P54" i="116"/>
  <c r="P55" i="116" s="1"/>
  <c r="O59" i="116" s="1"/>
  <c r="M53" i="116"/>
  <c r="Q52" i="116"/>
  <c r="M54" i="116"/>
  <c r="H23" i="117" l="1"/>
  <c r="H25" i="117" s="1"/>
  <c r="H27" i="117" s="1"/>
  <c r="H24" i="117"/>
  <c r="Q4" i="117" s="1"/>
  <c r="L23" i="117"/>
  <c r="L25" i="117" s="1"/>
  <c r="L27" i="117" s="1"/>
  <c r="Q21" i="117"/>
  <c r="R21" i="117" s="1"/>
  <c r="L24" i="117"/>
  <c r="Q54" i="116"/>
  <c r="Q55" i="116" s="1"/>
  <c r="Q53" i="116"/>
  <c r="M55" i="116"/>
  <c r="Q6" i="117" l="1"/>
  <c r="Q8" i="117" s="1"/>
  <c r="Q10" i="117" s="1"/>
  <c r="R10" i="117" s="1"/>
  <c r="Q24" i="117"/>
  <c r="R24" i="117" s="1"/>
  <c r="R55" i="116"/>
  <c r="G27" i="115"/>
  <c r="F25" i="115"/>
  <c r="J14" i="115"/>
  <c r="J13" i="115"/>
  <c r="J10" i="115" l="1"/>
  <c r="M10" i="113"/>
  <c r="M9" i="113"/>
  <c r="O46" i="113" l="1"/>
  <c r="K40" i="113"/>
  <c r="O40" i="113" s="1"/>
  <c r="H43" i="113"/>
  <c r="H47" i="113" s="1"/>
  <c r="I25" i="115"/>
  <c r="I24" i="115"/>
  <c r="Q23" i="115"/>
  <c r="Q22" i="115"/>
  <c r="Q20" i="115"/>
  <c r="AE8" i="31"/>
  <c r="L8" i="31"/>
  <c r="AD21" i="31"/>
  <c r="AD31" i="31"/>
  <c r="L56" i="113"/>
  <c r="K60" i="113" s="1"/>
  <c r="L54" i="113"/>
  <c r="Q52" i="113"/>
  <c r="P51" i="113"/>
  <c r="O51" i="113"/>
  <c r="N51" i="113"/>
  <c r="M51" i="113"/>
  <c r="P47" i="113"/>
  <c r="L47" i="113"/>
  <c r="J47" i="113"/>
  <c r="G47" i="113"/>
  <c r="F47" i="113"/>
  <c r="E47" i="113"/>
  <c r="K46" i="113"/>
  <c r="N47" i="113" s="1"/>
  <c r="K45" i="113"/>
  <c r="O45" i="113" s="1"/>
  <c r="K44" i="113"/>
  <c r="O44" i="113" s="1"/>
  <c r="K42" i="113"/>
  <c r="O42" i="113" s="1"/>
  <c r="K41" i="113"/>
  <c r="O41" i="113" s="1"/>
  <c r="K39" i="113"/>
  <c r="O39" i="113" s="1"/>
  <c r="K38" i="113"/>
  <c r="K37" i="113"/>
  <c r="O37" i="113" s="1"/>
  <c r="K36" i="113"/>
  <c r="O36" i="113" s="1"/>
  <c r="K35" i="113"/>
  <c r="O35" i="113" s="1"/>
  <c r="K34" i="113"/>
  <c r="K33" i="113"/>
  <c r="M47" i="113" s="1"/>
  <c r="K32" i="113"/>
  <c r="O31" i="113"/>
  <c r="N31" i="113"/>
  <c r="M31" i="113"/>
  <c r="L31" i="113"/>
  <c r="J31" i="113"/>
  <c r="H31" i="113"/>
  <c r="G31" i="113"/>
  <c r="F31" i="113"/>
  <c r="E31" i="113"/>
  <c r="K30" i="113"/>
  <c r="P30" i="113" s="1"/>
  <c r="K29" i="113"/>
  <c r="P29" i="113" s="1"/>
  <c r="K28" i="113"/>
  <c r="P28" i="113" s="1"/>
  <c r="K27" i="113"/>
  <c r="P27" i="113" s="1"/>
  <c r="K26" i="113"/>
  <c r="P26" i="113" s="1"/>
  <c r="K25" i="113"/>
  <c r="P25" i="113" s="1"/>
  <c r="K22" i="113"/>
  <c r="P22" i="113" s="1"/>
  <c r="K21" i="113"/>
  <c r="P21" i="113" s="1"/>
  <c r="K19" i="113"/>
  <c r="P19" i="113" s="1"/>
  <c r="K18" i="113"/>
  <c r="P18" i="113" s="1"/>
  <c r="K17" i="113"/>
  <c r="P17" i="113" s="1"/>
  <c r="K16" i="113"/>
  <c r="P16" i="113" s="1"/>
  <c r="K15" i="113"/>
  <c r="P15" i="113" s="1"/>
  <c r="P14" i="113"/>
  <c r="O14" i="113"/>
  <c r="N14" i="113"/>
  <c r="M14" i="113"/>
  <c r="L14" i="113"/>
  <c r="J14" i="113"/>
  <c r="I14" i="113"/>
  <c r="H14" i="113"/>
  <c r="G14" i="113"/>
  <c r="F14" i="113"/>
  <c r="E14" i="113"/>
  <c r="K13" i="113"/>
  <c r="K14" i="113" s="1"/>
  <c r="P12" i="113"/>
  <c r="O12" i="113"/>
  <c r="N12" i="113"/>
  <c r="L12" i="113"/>
  <c r="J12" i="113"/>
  <c r="I12" i="113"/>
  <c r="H12" i="113"/>
  <c r="G12" i="113"/>
  <c r="F12" i="113"/>
  <c r="E12" i="113"/>
  <c r="K11" i="113"/>
  <c r="M11" i="113" s="1"/>
  <c r="M12" i="113" s="1"/>
  <c r="K10" i="113"/>
  <c r="K9" i="113"/>
  <c r="K8" i="113"/>
  <c r="A8" i="113"/>
  <c r="A9" i="113" s="1"/>
  <c r="A10" i="113" s="1"/>
  <c r="A11" i="113" s="1"/>
  <c r="A13" i="113" s="1"/>
  <c r="A15" i="113" s="1"/>
  <c r="A16" i="113" s="1"/>
  <c r="A17" i="113" s="1"/>
  <c r="A18" i="113" s="1"/>
  <c r="A19" i="113" s="1"/>
  <c r="A20" i="113" s="1"/>
  <c r="A21" i="113" s="1"/>
  <c r="A22" i="113" s="1"/>
  <c r="A23" i="113" s="1"/>
  <c r="A24" i="113" s="1"/>
  <c r="A25" i="113" s="1"/>
  <c r="A26" i="113" s="1"/>
  <c r="A27" i="113" s="1"/>
  <c r="A28" i="113" s="1"/>
  <c r="A29" i="113" s="1"/>
  <c r="A30" i="113" s="1"/>
  <c r="A32" i="113" s="1"/>
  <c r="A33" i="113" s="1"/>
  <c r="A34" i="113" s="1"/>
  <c r="A35" i="113" s="1"/>
  <c r="A36" i="113" s="1"/>
  <c r="A37" i="113" s="1"/>
  <c r="A38" i="113" s="1"/>
  <c r="A39" i="113" s="1"/>
  <c r="A40" i="113" s="1"/>
  <c r="A41" i="113" s="1"/>
  <c r="A42" i="113" s="1"/>
  <c r="A43" i="113" s="1"/>
  <c r="A44" i="113" s="1"/>
  <c r="A45" i="113" s="1"/>
  <c r="A46" i="113" s="1"/>
  <c r="K7" i="113"/>
  <c r="K6" i="113"/>
  <c r="M48" i="113" l="1"/>
  <c r="M53" i="113" s="1"/>
  <c r="M55" i="113" s="1"/>
  <c r="L48" i="113"/>
  <c r="F21" i="115" s="1"/>
  <c r="Q9" i="115" s="1"/>
  <c r="I48" i="113"/>
  <c r="N48" i="113"/>
  <c r="K12" i="113"/>
  <c r="F48" i="113"/>
  <c r="H48" i="113"/>
  <c r="G48" i="113"/>
  <c r="K43" i="113"/>
  <c r="O43" i="113" s="1"/>
  <c r="O47" i="113" s="1"/>
  <c r="O48" i="113" s="1"/>
  <c r="AD42" i="31"/>
  <c r="E48" i="113"/>
  <c r="J3" i="115" s="1"/>
  <c r="J48" i="113"/>
  <c r="P31" i="113"/>
  <c r="P48" i="113" s="1"/>
  <c r="M54" i="113"/>
  <c r="K31" i="113"/>
  <c r="F23" i="115" l="1"/>
  <c r="H21" i="115"/>
  <c r="H24" i="115" s="1"/>
  <c r="Q4" i="115" s="1"/>
  <c r="N53" i="113"/>
  <c r="J21" i="115"/>
  <c r="K47" i="113"/>
  <c r="K48" i="113" s="1"/>
  <c r="J15" i="115" s="1"/>
  <c r="O53" i="113"/>
  <c r="O55" i="113" s="1"/>
  <c r="O56" i="113" s="1"/>
  <c r="N60" i="113" s="1"/>
  <c r="L21" i="115"/>
  <c r="P53" i="113"/>
  <c r="M21" i="115"/>
  <c r="M56" i="113"/>
  <c r="H23" i="115" l="1"/>
  <c r="H25" i="115" s="1"/>
  <c r="H27" i="115" s="1"/>
  <c r="J23" i="115"/>
  <c r="J24" i="115"/>
  <c r="Q5" i="115" s="1"/>
  <c r="N54" i="113"/>
  <c r="N55" i="113"/>
  <c r="N56" i="113" s="1"/>
  <c r="Q53" i="113"/>
  <c r="O54" i="113"/>
  <c r="L23" i="115"/>
  <c r="L24" i="115"/>
  <c r="Q6" i="115" s="1"/>
  <c r="P55" i="113"/>
  <c r="P56" i="113" s="1"/>
  <c r="O60" i="113" s="1"/>
  <c r="P54" i="113"/>
  <c r="M23" i="115"/>
  <c r="Q21" i="115"/>
  <c r="R21" i="115" s="1"/>
  <c r="M24" i="115"/>
  <c r="J25" i="115" l="1"/>
  <c r="J27" i="115" s="1"/>
  <c r="L25" i="115"/>
  <c r="L27" i="115" s="1"/>
  <c r="Q54" i="113"/>
  <c r="Q55" i="113"/>
  <c r="Q56" i="113" s="1"/>
  <c r="R56" i="113" s="1"/>
  <c r="Q24" i="115"/>
  <c r="Q7" i="115"/>
  <c r="Q8" i="115" s="1"/>
  <c r="Q10" i="115" s="1"/>
  <c r="R10" i="115" s="1"/>
  <c r="M25" i="115"/>
  <c r="M27" i="115" s="1"/>
  <c r="AE18" i="31"/>
  <c r="R24" i="115" l="1"/>
  <c r="Q25" i="115"/>
  <c r="AE17" i="31"/>
  <c r="AE16" i="31" l="1"/>
  <c r="I21" i="24" l="1"/>
  <c r="A10" i="30" l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E9" i="30"/>
  <c r="L9" i="30"/>
  <c r="S31" i="31" l="1"/>
  <c r="AE40" i="31"/>
  <c r="AE26" i="31" l="1"/>
  <c r="L26" i="31"/>
  <c r="L41" i="31" l="1"/>
  <c r="L40" i="31"/>
  <c r="S21" i="31" l="1"/>
  <c r="S42" i="31" s="1"/>
  <c r="AE38" i="31"/>
  <c r="AE36" i="31"/>
  <c r="AE34" i="31"/>
  <c r="A11" i="31" l="1"/>
  <c r="A12" i="31" s="1"/>
  <c r="A13" i="31" s="1"/>
  <c r="A14" i="31" s="1"/>
  <c r="A15" i="31" s="1"/>
  <c r="A20" i="31" s="1"/>
  <c r="AE6" i="30" l="1"/>
  <c r="L6" i="30"/>
  <c r="AE12" i="31" l="1"/>
  <c r="V31" i="31" l="1"/>
  <c r="V21" i="31"/>
  <c r="T21" i="31" l="1"/>
  <c r="U21" i="31"/>
  <c r="W21" i="31"/>
  <c r="W42" i="31" s="1"/>
  <c r="X21" i="31"/>
  <c r="Y21" i="31"/>
  <c r="Z21" i="31"/>
  <c r="AA21" i="31"/>
  <c r="AB21" i="31"/>
  <c r="AC21" i="31"/>
  <c r="U31" i="31"/>
  <c r="X31" i="31"/>
  <c r="Y31" i="31"/>
  <c r="Z31" i="31"/>
  <c r="AA31" i="31"/>
  <c r="AB31" i="31"/>
  <c r="AC31" i="31"/>
  <c r="AA42" i="31" l="1"/>
  <c r="AB42" i="31"/>
  <c r="X42" i="31"/>
  <c r="Y42" i="31"/>
  <c r="Z42" i="31"/>
  <c r="AC42" i="31"/>
  <c r="T31" i="31"/>
  <c r="AE10" i="31" l="1"/>
  <c r="L10" i="31"/>
  <c r="AE23" i="31"/>
  <c r="AE19" i="31" l="1"/>
  <c r="AE15" i="31" l="1"/>
  <c r="L36" i="31" l="1"/>
  <c r="L34" i="31"/>
  <c r="AE20" i="31" l="1"/>
  <c r="L27" i="31" l="1"/>
  <c r="L38" i="31" l="1"/>
  <c r="L30" i="31"/>
  <c r="AE29" i="31"/>
  <c r="L29" i="31"/>
  <c r="AE28" i="31"/>
  <c r="L28" i="31"/>
  <c r="AE27" i="31"/>
  <c r="L25" i="31"/>
  <c r="AE24" i="31"/>
  <c r="L24" i="31"/>
  <c r="L20" i="31"/>
  <c r="L19" i="31"/>
  <c r="AE14" i="31"/>
  <c r="L14" i="31"/>
  <c r="AE13" i="31"/>
  <c r="L13" i="31"/>
  <c r="L12" i="31"/>
  <c r="AE11" i="31"/>
  <c r="L11" i="31"/>
  <c r="L6" i="31"/>
  <c r="AE31" i="31" l="1"/>
  <c r="AE21" i="31"/>
  <c r="A29" i="31"/>
  <c r="A30" i="31" s="1"/>
  <c r="AE42" i="31" l="1"/>
  <c r="AE44" i="31" s="1"/>
  <c r="J21" i="24"/>
  <c r="K6" i="24"/>
  <c r="K5" i="24"/>
  <c r="K7" i="24" l="1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 l="1"/>
  <c r="L54" i="30"/>
  <c r="L53" i="30"/>
  <c r="L52" i="30"/>
  <c r="L51" i="30"/>
  <c r="L50" i="30"/>
  <c r="L49" i="30"/>
  <c r="L48" i="30"/>
  <c r="L47" i="30"/>
  <c r="L46" i="30"/>
  <c r="L45" i="30"/>
  <c r="L44" i="30"/>
  <c r="L43" i="30"/>
  <c r="L42" i="30"/>
  <c r="L41" i="30"/>
  <c r="L40" i="30"/>
  <c r="A40" i="30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L39" i="30"/>
  <c r="L37" i="30"/>
  <c r="L35" i="30"/>
  <c r="L26" i="30"/>
  <c r="L33" i="30"/>
  <c r="L32" i="30"/>
  <c r="L31" i="30"/>
  <c r="L30" i="30"/>
  <c r="L29" i="30"/>
  <c r="L28" i="30"/>
  <c r="L34" i="30"/>
  <c r="L27" i="30"/>
  <c r="L25" i="30"/>
  <c r="L24" i="30"/>
  <c r="L23" i="30"/>
  <c r="L22" i="30"/>
  <c r="L21" i="30"/>
  <c r="L20" i="30"/>
  <c r="L19" i="30"/>
  <c r="L18" i="30"/>
  <c r="L17" i="30"/>
  <c r="L16" i="30"/>
  <c r="L15" i="30"/>
  <c r="L14" i="30"/>
  <c r="L13" i="30"/>
  <c r="L12" i="30"/>
  <c r="L11" i="30"/>
  <c r="L10" i="30"/>
  <c r="L8" i="30"/>
  <c r="A31" i="30" l="1"/>
  <c r="A32" i="30" s="1"/>
  <c r="A33" i="30" s="1"/>
  <c r="A34" i="30" s="1"/>
  <c r="A35" i="30" s="1"/>
  <c r="C21" i="24" l="1"/>
  <c r="D21" i="24"/>
  <c r="E21" i="24"/>
  <c r="F21" i="24"/>
  <c r="G21" i="24"/>
  <c r="H21" i="24"/>
  <c r="Q23" i="117"/>
  <c r="J23" i="117"/>
  <c r="J25" i="117" s="1"/>
  <c r="J27" i="117" l="1"/>
  <c r="Q25" i="1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SN-AC-01</author>
  </authors>
  <commentList>
    <comment ref="AF24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เปลี่ยนสัญญาเช่าเป็นชื่อคุณรุจิรา เริ่มวันที่ 1/6/65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
เกินวันที่ 10 คิดว่าปรับวันละ 100 บาท
</t>
        </r>
      </text>
    </comment>
  </commentList>
</comments>
</file>

<file path=xl/sharedStrings.xml><?xml version="1.0" encoding="utf-8"?>
<sst xmlns="http://schemas.openxmlformats.org/spreadsheetml/2006/main" count="1357" uniqueCount="434">
  <si>
    <t>ที่</t>
  </si>
  <si>
    <t>ที่อยู่</t>
  </si>
  <si>
    <t>หมายเหตุ</t>
  </si>
  <si>
    <t>นางอารี   อุ่นแสง</t>
  </si>
  <si>
    <t>อู่ซ่อมรถยนต์ เชียงใหม่</t>
  </si>
  <si>
    <t>แยกข่วงสิงห์  อู่ซ่อมรถยนต์,บ้านเช่า  เชียงใหม่</t>
  </si>
  <si>
    <t>น.ส.อาพร  กลัดกลิ่น</t>
  </si>
  <si>
    <t>เงินประกัน</t>
  </si>
  <si>
    <t>ค่าเช่า</t>
  </si>
  <si>
    <t>สถานที่</t>
  </si>
  <si>
    <t>นายสิริชัย  นครสิงห์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</si>
  <si>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</si>
  <si>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</si>
  <si>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</si>
  <si>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</si>
  <si>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</si>
  <si>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</si>
  <si>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</si>
  <si>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</si>
  <si>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</si>
  <si>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</si>
  <si>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</si>
  <si>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รวมทั้งสิ้น</t>
  </si>
  <si>
    <t>เลขห้อง</t>
  </si>
  <si>
    <t>รายชื่อ</t>
  </si>
  <si>
    <t>ค่าไฟฟ้า</t>
  </si>
  <si>
    <t>ค่าน้ำ</t>
  </si>
  <si>
    <t>รายได้ค่าบริการ</t>
  </si>
  <si>
    <t>รวม</t>
  </si>
  <si>
    <t>ห้องว่าง</t>
  </si>
  <si>
    <t>BP35/537</t>
  </si>
  <si>
    <t>BP35/544</t>
  </si>
  <si>
    <t>คุณภีรพร กลัดขวัญ</t>
  </si>
  <si>
    <t xml:space="preserve">BP35/548 </t>
  </si>
  <si>
    <t xml:space="preserve">BP35/543 </t>
  </si>
  <si>
    <t>คุณจันทร์ดี จอกจันทร์</t>
  </si>
  <si>
    <t xml:space="preserve">BP35/545 </t>
  </si>
  <si>
    <t>BP35/535</t>
  </si>
  <si>
    <t xml:space="preserve">BP35/541 </t>
  </si>
  <si>
    <t xml:space="preserve">BP35/542 </t>
  </si>
  <si>
    <t>BP35/540</t>
  </si>
  <si>
    <t xml:space="preserve">BP35/536 </t>
  </si>
  <si>
    <t>BP35/533</t>
  </si>
  <si>
    <t xml:space="preserve">BP35/547 </t>
  </si>
  <si>
    <t>BP35/534</t>
  </si>
  <si>
    <t>คุณทัศนีย์ อำนวยสุนทร</t>
  </si>
  <si>
    <t xml:space="preserve">BP35/539 </t>
  </si>
  <si>
    <t xml:space="preserve">BP35/546 </t>
  </si>
  <si>
    <t>รับเงินวันที่</t>
  </si>
  <si>
    <t>BP35/538</t>
  </si>
  <si>
    <t>คุณบุญสม หมูขาว</t>
  </si>
  <si>
    <t>มัดจำ</t>
  </si>
  <si>
    <t>โฉนด</t>
  </si>
  <si>
    <t>เลขที่ดิน</t>
  </si>
  <si>
    <t>หน้าสำรวจ</t>
  </si>
  <si>
    <t>ระวาง</t>
  </si>
  <si>
    <t>เนื้อที่</t>
  </si>
  <si>
    <t xml:space="preserve"> รวม </t>
  </si>
  <si>
    <t>กรรมสิทธิ์</t>
  </si>
  <si>
    <t>ไร่</t>
  </si>
  <si>
    <t>งาน</t>
  </si>
  <si>
    <t>ตร.ว.</t>
  </si>
  <si>
    <t xml:space="preserve"> ตร.ว. </t>
  </si>
  <si>
    <t>5235 IIII 4054</t>
  </si>
  <si>
    <t>ต.คลองกิ่ว อ.บ้านบึง จ.ชลบุรี</t>
  </si>
  <si>
    <t>คุณสมบัติ</t>
  </si>
  <si>
    <t>-</t>
  </si>
  <si>
    <t>อยู่ในสนามกอล์ฟ</t>
  </si>
  <si>
    <t>คุณจันทาภา</t>
  </si>
  <si>
    <t>4936 I 9428-14</t>
  </si>
  <si>
    <t>คุณสมบัติ,คุณนภา</t>
  </si>
  <si>
    <t>4936 I 9426-10</t>
  </si>
  <si>
    <t>ต.บ้านโป่ง อ.บ้านโป่ง จ.ราชบุรี</t>
  </si>
  <si>
    <t>บ้านตลาด 143-145 ให้เช่า</t>
  </si>
  <si>
    <t>15 น/4 อ.</t>
  </si>
  <si>
    <t>ต.คุ้งพยอม อ.บ้านโป่ง จ.ราชบุรี</t>
  </si>
  <si>
    <t>ที่ดินริมน้ำคุ้งพยอม</t>
  </si>
  <si>
    <t>4936 I 9426-06</t>
  </si>
  <si>
    <t>5036 I 5824-13</t>
  </si>
  <si>
    <t>4936 I 9426-03</t>
  </si>
  <si>
    <t>ต.ปากแรต อ.บ้านโป่ง จ.ราชบุรี</t>
  </si>
  <si>
    <t>ข้างท.3</t>
  </si>
  <si>
    <t>4936 I 9426-8</t>
  </si>
  <si>
    <t>4936 I 9628</t>
  </si>
  <si>
    <t>ข้างซีซ่า</t>
  </si>
  <si>
    <t>คุณอยุทธ์</t>
  </si>
  <si>
    <t>4936 I 9032</t>
  </si>
  <si>
    <t>ต.ท่าผา อ.บ้านโป่ง จ.ราชบุรี</t>
  </si>
  <si>
    <t>คุณณัฐวุฒิ,คุณอยุทธ์,คุณจันทาภา</t>
  </si>
  <si>
    <t>วัดโกสินาราย์ ท่าผา</t>
  </si>
  <si>
    <t>4936 IV 7022</t>
  </si>
  <si>
    <t>ต.หนองกวาง อ.โพธาราม จ.ราชบุรี</t>
  </si>
  <si>
    <t>หนองกวาง โพธาราม ติดเขาเป็นลูกรัง</t>
  </si>
  <si>
    <t>4936 I 9426-02</t>
  </si>
  <si>
    <t>4936 I 9638</t>
  </si>
  <si>
    <t>ต.กรับใหญ่ อ.บ้านโป่ง จ.ราชบุรี</t>
  </si>
  <si>
    <t xml:space="preserve">กรับใหญ่ </t>
  </si>
  <si>
    <t>4936 I 9232</t>
  </si>
  <si>
    <t>ท่าผา</t>
  </si>
  <si>
    <t>4936 I 9822</t>
  </si>
  <si>
    <t>ต.ดอนกระเบื้อง อ.บ้านโป่ง จ.ราชบุรี</t>
  </si>
  <si>
    <t>คุณจันทาภา,คุณอยุทธ์,คุณณัฐวุฒิ</t>
  </si>
  <si>
    <t>ดอนกระเบื้อง (คุณหมวย โซล่า)</t>
  </si>
  <si>
    <t>คุณจิตรา,คุณน้ำผึ้ง,คุณจตุรพร</t>
  </si>
  <si>
    <t>คุณอัจฉรา,สุรีพร</t>
  </si>
  <si>
    <t>คุณจันทาภา,คุณอยุทธ์,คุณณัฐวุฒิ,คุณน้ำผึ้ง</t>
  </si>
  <si>
    <t>4936 I 0028</t>
  </si>
  <si>
    <t>ต.หนองกบ อ.บ้านโป่ง จ.ราชบุรี</t>
  </si>
  <si>
    <t>หนองกบ</t>
  </si>
  <si>
    <t>4936 I 9224-00</t>
  </si>
  <si>
    <t>ต. สวนกล้วย อ.บ้านโป่ง จ.ราชบุรี</t>
  </si>
  <si>
    <t>หลังร้านเจียบ่วยเฮียง</t>
  </si>
  <si>
    <t>คุณนภา , คุณอยุทธ์</t>
  </si>
  <si>
    <t>คุณณัฐวุฒิ,คุณจันทาภา,คุณอยุทธ์</t>
  </si>
  <si>
    <t>ข้างสระว่ายน้ำเทศบาล (ศูนย์เยาวชน)</t>
  </si>
  <si>
    <t>4936 I 9228-15</t>
  </si>
  <si>
    <t>พื้นที่ให้เช่า</t>
  </si>
  <si>
    <t>ผู้เช่า</t>
  </si>
  <si>
    <t>เลขที่</t>
  </si>
  <si>
    <t>สัญญา</t>
  </si>
  <si>
    <t>0-0-18</t>
  </si>
  <si>
    <t>0-0-27.4</t>
  </si>
  <si>
    <t>บริษัท  ดีแทค ไตรเน็ต จำกัด</t>
  </si>
  <si>
    <t xml:space="preserve">ต.บ้านโป่ง อ.บ้านโป่ง จ.ราชบุรี </t>
  </si>
  <si>
    <t>4937 I 9426-8</t>
  </si>
  <si>
    <t>4938 I 9426-8</t>
  </si>
  <si>
    <t>4939 I 9426-8</t>
  </si>
  <si>
    <t>4940 I 9426-8</t>
  </si>
  <si>
    <t>4941 I 9426-8</t>
  </si>
  <si>
    <t>ข้าง TMK</t>
  </si>
  <si>
    <t>หลัง TMK</t>
  </si>
  <si>
    <t>คุณสมบัติ,คุณนภา,คุณณัฐวุฒิ,คุณจันทาภา,คุณอยุทธ์</t>
  </si>
  <si>
    <t>ค่ายหลวง</t>
  </si>
  <si>
    <t>24 น./16 อ./3</t>
  </si>
  <si>
    <t>ต.หาดทรายรี  อ.เมืองชุมพร จ.ชุมพร</t>
  </si>
  <si>
    <t>4829 IV 3050-1</t>
  </si>
  <si>
    <t>หาดทรายรี</t>
  </si>
  <si>
    <t>คุณณัฐวุฒิ-คุณจันทาภา-คุณอยุทธ์</t>
  </si>
  <si>
    <t>4846 IV 0078-8</t>
  </si>
  <si>
    <t>ต.ฟ้าฮ่าม อ.เมืองเชียงใหม่ จ.เชียงใหม่</t>
  </si>
  <si>
    <t>4746 I 9878-2</t>
  </si>
  <si>
    <t>ต.ช้างเผือก อ.เมืองเชียงใหม่ จ.เชียงใหม่</t>
  </si>
  <si>
    <t>4746 I 9878-14</t>
  </si>
  <si>
    <t>คุณสมบัติ,คุณนภา,คุณณัฐวุฒิ</t>
  </si>
  <si>
    <t>บ่อทราย</t>
  </si>
  <si>
    <t>นส.3</t>
  </si>
  <si>
    <t>ต.บ้านยาง อ.เมืองนครปฐม จ.นครปฐม</t>
  </si>
  <si>
    <t>ต่อปี</t>
  </si>
  <si>
    <t>SN อพาร์ทเม้นท์ (สาขาเชียงใหม่)</t>
  </si>
  <si>
    <t>30-0-0</t>
  </si>
  <si>
    <t>นายทรงพล  หมื่นแก้ว</t>
  </si>
  <si>
    <t>3-0-0</t>
  </si>
  <si>
    <t>นางนัยณา  สีดา</t>
  </si>
  <si>
    <t>บัญชีที่ดินกรรมการ</t>
  </si>
  <si>
    <t>กรุงเทพมหานคร</t>
  </si>
  <si>
    <t>ข้างท.3 (ที่สวนผัก หลังทางรถไฟ)</t>
  </si>
  <si>
    <t>บ้านท.3 401/2 ถนนทรงพล ต. บ้านโป่ง</t>
  </si>
  <si>
    <t>ร้านวาเลนไทน์ เชียงใหม่ ชั้น 1</t>
  </si>
  <si>
    <t>ระยะเวลาเช่า</t>
  </si>
  <si>
    <t>จังหวัดเชียงใหม่</t>
  </si>
  <si>
    <t>จังหวัดชุมพร</t>
  </si>
  <si>
    <t>จังหวัดชลบุรี</t>
  </si>
  <si>
    <t xml:space="preserve">60/10-11 ถนนช้างเผือก </t>
  </si>
  <si>
    <t xml:space="preserve">มกราคม </t>
  </si>
  <si>
    <t>ที่จอดรถ เชียงใหม่</t>
  </si>
  <si>
    <t>บ้าน อ. ต้อย 190/60 หมู่ 4 ต. เบิกไพร อ. บ้านโป่ง</t>
  </si>
  <si>
    <t>เบอร์โทร</t>
  </si>
  <si>
    <t>จังหวัดราชบุรี</t>
  </si>
  <si>
    <t>บ่อทรายสระตาสัง</t>
  </si>
  <si>
    <t>081-026-9494</t>
  </si>
  <si>
    <t>088-577-1271</t>
  </si>
  <si>
    <t>087-656-9245</t>
  </si>
  <si>
    <t>น.ส.นวรัตน์  เกตตะพันธุ์ (คุณปิติ)</t>
  </si>
  <si>
    <t>093-145-2120</t>
  </si>
  <si>
    <t>081-526-3202</t>
  </si>
  <si>
    <t>096-995-5615</t>
  </si>
  <si>
    <t>062-628-5195</t>
  </si>
  <si>
    <t>081-655-2552</t>
  </si>
  <si>
    <t>083-228-1016</t>
  </si>
  <si>
    <t>ค่าปรับ</t>
  </si>
  <si>
    <t xml:space="preserve">จ่ายภายในวันที่ 5 พฤศจิกายน ของทุกปี </t>
  </si>
  <si>
    <t>ปี 2564</t>
  </si>
  <si>
    <t>ห้องทั้งหมด</t>
  </si>
  <si>
    <t>มีผู้เช่า</t>
  </si>
  <si>
    <t>บ่อทรายหนองสาหร่ายเก่า</t>
  </si>
  <si>
    <t>4937///</t>
  </si>
  <si>
    <t>ต.ดอนเจดีย์ อ.พนมทวน จ.กาญจนบุรี</t>
  </si>
  <si>
    <t>บ่อทรายหนองสาหร่าย</t>
  </si>
  <si>
    <t>2-0-0</t>
  </si>
  <si>
    <t>นายสมปอง  กระต่ายทอง</t>
  </si>
  <si>
    <t>บ่อทรายบ้านยาง</t>
  </si>
  <si>
    <t>4936 I 0030</t>
  </si>
  <si>
    <t>นางนัยณา สีดา</t>
  </si>
  <si>
    <t>นส.3 ก 2783</t>
  </si>
  <si>
    <t>ค่าเช่าซอยมายเฮ้าส์</t>
  </si>
  <si>
    <t>สรุป</t>
  </si>
  <si>
    <t>7-2-0</t>
  </si>
  <si>
    <t>ห้องว่าง (ไม่มีมิเตอร์ไฟ)</t>
  </si>
  <si>
    <t>ยอดค้างจ่าย</t>
  </si>
  <si>
    <t>เข้าใหม่</t>
  </si>
  <si>
    <t>ขายก๋วยเตี๋ยว</t>
  </si>
  <si>
    <t>น.ส. เพียงตวัน  อารีย์</t>
  </si>
  <si>
    <t>105 ซอยบรมราชชนนี 39 แขวงตลิ่งชั่น เขตตลิ่งชั่น กทม</t>
  </si>
  <si>
    <t>143,145  ถนนประชานิยม ต.บ้านโป่ง อ.บ้านโป่ง จ.ราชบุรี</t>
  </si>
  <si>
    <t>เลขที่ 200,202 อาคารพาณิชย์ 2 คูหา 3 ชั้น ถนนแสงชูโต ต. บ้านโป่ง อ. บ้านโป่ง จ. ราชบุรี</t>
  </si>
  <si>
    <t>190/60 หมู่ 4 ต. เบิกไพร อ. บ้านโป่ง</t>
  </si>
  <si>
    <t>บ้านท.3 401/1 ถนนทรงพล ต. บ้านโป่ง อ. บ้านโป่ง จ. ราชบุรี</t>
  </si>
  <si>
    <t>บ้านท.3 401/2 ถนนทรงพล ต. บ้านโป่ง อ. บ้านโป่ง จ. ราชบุรี</t>
  </si>
  <si>
    <t xml:space="preserve"> 107/11 ซ.4 ถนนช้างเผือก ต. ศรีภูมิ อ. เมืองเชียงใหม่ จ.เชียงใหม่</t>
  </si>
  <si>
    <t xml:space="preserve">อาคารพาณิชย์ ร. 9  1 คูหา บ้านเลขที่ 28/7 </t>
  </si>
  <si>
    <t>0-2-44</t>
  </si>
  <si>
    <t>0-2-55</t>
  </si>
  <si>
    <t>0-2-19</t>
  </si>
  <si>
    <t>0-0-98</t>
  </si>
  <si>
    <t>0-0-20</t>
  </si>
  <si>
    <t>0-0-49</t>
  </si>
  <si>
    <t>0-0-23.4</t>
  </si>
  <si>
    <t>0-0-96.2</t>
  </si>
  <si>
    <t>0-0-21.9</t>
  </si>
  <si>
    <t>14/06/2564 - 13/06/2570</t>
  </si>
  <si>
    <t>มกราคม</t>
  </si>
  <si>
    <t>SB65-0014</t>
  </si>
  <si>
    <t>SB65-0015</t>
  </si>
  <si>
    <t>SB.65-0017</t>
  </si>
  <si>
    <t>นายธนากร  วงษ์พิทักษ์โรจน์</t>
  </si>
  <si>
    <t>15-1-61</t>
  </si>
  <si>
    <t>SB64-10-001</t>
  </si>
  <si>
    <t>SB.65-0004</t>
  </si>
  <si>
    <t>SB.65-0006</t>
  </si>
  <si>
    <t>SB.65-0002</t>
  </si>
  <si>
    <t>SB.65-0003</t>
  </si>
  <si>
    <t>SB.65-0001</t>
  </si>
  <si>
    <t>SB65.0013</t>
  </si>
  <si>
    <t>SB.65-0009</t>
  </si>
  <si>
    <t>SB.65-0010</t>
  </si>
  <si>
    <t>SB.65-0008</t>
  </si>
  <si>
    <t>กสิกรไทย/บ้านโป่ง  119-3-21759-8  น.ส.ภาวิณี  วังมะนาว (จ่ายทุกเดือน)</t>
  </si>
  <si>
    <t>กสิกรไทย/บ้านโป่ง  144-2-79103-8 คุณนภา พิษณุไวศยวาท  (จ่ายทุกเดือน)</t>
  </si>
  <si>
    <t>รายละเอียดค่าเช่า</t>
  </si>
  <si>
    <t>รับเงินจาก</t>
  </si>
  <si>
    <t xml:space="preserve">คุณนภา </t>
  </si>
  <si>
    <t xml:space="preserve">น.ส.ภาวิณี  วังมะนาว </t>
  </si>
  <si>
    <t xml:space="preserve">กสิกร 119-3-21759-8 </t>
  </si>
  <si>
    <t xml:space="preserve">กสิกร 119-3-21471-8  </t>
  </si>
  <si>
    <t xml:space="preserve">ทาวน์เฮ้าท์เชียงใหม่ เลขที่ 107/11 </t>
  </si>
  <si>
    <t>แยกข่วงสิงห์  เชียงใหม่</t>
  </si>
  <si>
    <t xml:space="preserve">ทาวน์เฮ้าท์ เชียงใหม่ เลขที่ 107/12 </t>
  </si>
  <si>
    <t xml:space="preserve">น.ส.นวรัตน์  เกตตะพันธุ์ (คุณปิติ) </t>
  </si>
  <si>
    <t>SN อพาร์ทเม้นท์ ชั้นที่ 1</t>
  </si>
  <si>
    <t>เชียงใหม่</t>
  </si>
  <si>
    <t>ห้องเช่าซอยมายเฮาส์</t>
  </si>
  <si>
    <t xml:space="preserve">อาคารพาณิชย์ ร. 9  คลินิกบ้านเลขที่ 28/7 </t>
  </si>
  <si>
    <t>คลินิกทันตกรรม อาคารพาณิชย์ ร.9</t>
  </si>
  <si>
    <t xml:space="preserve">บ้านตลาด 143-145 </t>
  </si>
  <si>
    <t>นางอุษา  ตันติไชยากุล</t>
  </si>
  <si>
    <t>บ้านโป่ง/บ่อทราย</t>
  </si>
  <si>
    <t>ยอดยกมา</t>
  </si>
  <si>
    <t>ยอดคงเหลือในบัญชี</t>
  </si>
  <si>
    <t>คุณณัชชา โสไกร ย้ายมาจาก 536</t>
  </si>
  <si>
    <t>ซอยมายเฮาส์ 16 ห้อง</t>
  </si>
  <si>
    <t>ซอยมายเฮาส์  ห้อง BP35/548</t>
  </si>
  <si>
    <t>ซอยมายเฮาส์  ห้อง BP35/547</t>
  </si>
  <si>
    <t>ซอยมายเฮาส์  ห้อง BP35/546</t>
  </si>
  <si>
    <t>บ้านท.3 401/1 ถนนทรงพล</t>
  </si>
  <si>
    <t xml:space="preserve">บ้านท.3 401/2 ถนนทรงพล </t>
  </si>
  <si>
    <t>ซอยมายเฮาส์  ห้อง BP35/545</t>
  </si>
  <si>
    <t>ซอยมายเฮาส์ ห้อง BP35/533</t>
  </si>
  <si>
    <t>ซอยมายเฮาส์ ห้อง BP35/534</t>
  </si>
  <si>
    <t>ซอยมายเฮาส์  ห้อง BP35/535</t>
  </si>
  <si>
    <t>ซอยมายเฮาส์  ห้อง BP35/536</t>
  </si>
  <si>
    <t>ซอยมายเฮาส์  ห้อง BP35/537</t>
  </si>
  <si>
    <t>ซอยมายเฮาส์  ห้อง BP35/538</t>
  </si>
  <si>
    <t>ซอยมายเฮาส์  ห้อง BP35/539</t>
  </si>
  <si>
    <t>ซอยมายเฮาส์  ห้อง BP35/540</t>
  </si>
  <si>
    <t>ซอยมายเฮาส์  ห้อง BP35/541</t>
  </si>
  <si>
    <t>ซอยมายเฮาส์  ห้อง BP35/544</t>
  </si>
  <si>
    <t xml:space="preserve">บัญชี น.ส.ภาวิณี   Kbank  119-3-21759-8 </t>
  </si>
  <si>
    <t>ห้องว่างทั้งหมด</t>
  </si>
  <si>
    <t>ทาวน์เฮ้าส์ เชียงใหม่ 107/12 ซ.4 ถนนช้างเผือก ต. ศรีภูมิ อ. เมืองเชียงใหม่ จ.เชียงใหม่</t>
  </si>
  <si>
    <t xml:space="preserve"> DTAC (บ้านโป่ง)</t>
  </si>
  <si>
    <t xml:space="preserve">105 หมู่ 6 หมู่บ้านปิ่นนคร </t>
  </si>
  <si>
    <t>01/01/2566 - 31/12/2567</t>
  </si>
  <si>
    <t xml:space="preserve">ซอยมายเฮาส์  ห้อง BP35/543 </t>
  </si>
  <si>
    <t>KO WIN</t>
  </si>
  <si>
    <t>ซอยมายเฮาส์ ห้อง BP35/542</t>
  </si>
  <si>
    <t>ค่าเช่ารับล่วงหน้า</t>
  </si>
  <si>
    <t>เช่าบางส่วน</t>
  </si>
  <si>
    <t>กสิกรไทย/บ้านโป่ง  144-2-79103-8 คุณนภา พิษณุไวศยวาท</t>
  </si>
  <si>
    <t>บจ. ช.ฐานเพชร คอนสตรัคชั่น</t>
  </si>
  <si>
    <t>เช่าเป็นเส้นทางลำเลียงวัสดุตั้งแต่วันที่ 01/05/66 - 31/10/66</t>
  </si>
  <si>
    <t>นายสมชัย  พาราสรรเสริญ</t>
  </si>
  <si>
    <t>089-5580708</t>
  </si>
  <si>
    <t>MYINT THEIN</t>
  </si>
  <si>
    <t>บ้านว่าง</t>
  </si>
  <si>
    <t>190/60 หมู่ 4 ต. เบิกไพร อ. ต้อย</t>
  </si>
  <si>
    <t>คุณรุจิรา  เกตุสถิตย์</t>
  </si>
  <si>
    <t>กสิกรไทย/บ้านโป่ง  119-3-21471-8  คุณรุจิรา  เกตุสถิตย์ (จ่ายทุกเดือน)</t>
  </si>
  <si>
    <t>ไทยพาณิชย์/บ้านโป่ง 611-281075-3  คุณจรรยพรรศ (จ่ายทุก 3 เดือน)</t>
  </si>
  <si>
    <t>ไทยพาณิชย์/บ้านโป่ง 611-281075-3  คุณจรรยพรรศ (จ่ายทุกเดือน)</t>
  </si>
  <si>
    <t>ไทยพาณิชย์/บ้านโป่ง 611-281075-3  คุณจรรยพรรศ (จ่ายทุก 6 เดือน)</t>
  </si>
  <si>
    <t>ไทยพาณิชย์/บ้านโป่ง 611-281075-3  คุณจรรยพรรศ (จ่ายปีละ 1 ครั้ง)</t>
  </si>
  <si>
    <t>คุณจรรยพรรศ  จันทร์เครือ</t>
  </si>
  <si>
    <t>บัญชี คุณจรรยพรรศ  SCB 611-281075-3</t>
  </si>
  <si>
    <t>คุณภาวินี  จอมพล</t>
  </si>
  <si>
    <t>คุณมานะ สามชัย</t>
  </si>
  <si>
    <t>15/12/2566 - 31/05/2567</t>
  </si>
  <si>
    <t xml:space="preserve">บัญชี คุณรุจิรา      Kbank  119-3-21471-8  </t>
  </si>
  <si>
    <r>
      <t xml:space="preserve">นายอริยะ  ปัตตพงศ์ </t>
    </r>
    <r>
      <rPr>
        <sz val="18"/>
        <color rgb="FFFF0000"/>
        <rFont val="AngsanaUPC"/>
        <family val="1"/>
      </rPr>
      <t>(คลินิกทันตกรรม)</t>
    </r>
  </si>
  <si>
    <r>
      <t xml:space="preserve">นายศิรภพ  วิยาภรณ์ </t>
    </r>
    <r>
      <rPr>
        <sz val="18"/>
        <color rgb="FFFF0000"/>
        <rFont val="AngsanaUPC"/>
        <family val="1"/>
      </rPr>
      <t>(ร้านนวด)</t>
    </r>
  </si>
  <si>
    <r>
      <t>ให้ DTAC</t>
    </r>
    <r>
      <rPr>
        <sz val="18"/>
        <color rgb="FFFF0000"/>
        <rFont val="AngsanaUPC"/>
        <family val="1"/>
      </rPr>
      <t xml:space="preserve"> เช่าในนามน.ส. ภาวิณี  วังมะนาว</t>
    </r>
  </si>
  <si>
    <r>
      <t>นายสมชัย  พาราสรรเสริญ</t>
    </r>
    <r>
      <rPr>
        <sz val="18"/>
        <color rgb="FFFF0000"/>
        <rFont val="AngsanaUPC"/>
        <family val="1"/>
      </rPr>
      <t xml:space="preserve"> (เช่าใหม่)</t>
    </r>
  </si>
  <si>
    <t>รับเงินค่าเช่าส่วนตัว ปี 2568</t>
  </si>
  <si>
    <t>SCB 611-281075-3</t>
  </si>
  <si>
    <t>SCB 611-261071-1</t>
  </si>
  <si>
    <t>ขายน้ำกระท่อม</t>
  </si>
  <si>
    <t>นายวรพล  แม้นจิตต์</t>
  </si>
  <si>
    <t>รายรับ</t>
  </si>
  <si>
    <t>สรุปยอดเงินเข้าบัญชี</t>
  </si>
  <si>
    <t>บัญชี คุณนภา   Kbank  144-2-79103-8</t>
  </si>
  <si>
    <r>
      <rPr>
        <u/>
        <sz val="59"/>
        <color theme="1"/>
        <rFont val="Angsana New"/>
        <family val="1"/>
      </rPr>
      <t xml:space="preserve">บวก </t>
    </r>
    <r>
      <rPr>
        <sz val="59"/>
        <color theme="1"/>
        <rFont val="Angsana New"/>
        <family val="1"/>
      </rPr>
      <t xml:space="preserve">     รับเงินค่าเช่า</t>
    </r>
  </si>
  <si>
    <t>รวมเงิน</t>
  </si>
  <si>
    <r>
      <rPr>
        <u/>
        <sz val="59"/>
        <color theme="1"/>
        <rFont val="Angsana New"/>
        <family val="1"/>
      </rPr>
      <t>หัก</t>
    </r>
    <r>
      <rPr>
        <sz val="59"/>
        <color theme="1"/>
        <rFont val="Angsana New"/>
        <family val="1"/>
      </rPr>
      <t xml:space="preserve">  ถอนเงินสด</t>
    </r>
  </si>
  <si>
    <t>สรุปยอดคงเหลือในบัญชี</t>
  </si>
  <si>
    <t>ยอดเงินเข้าบัญชี</t>
  </si>
  <si>
    <r>
      <rPr>
        <b/>
        <u/>
        <sz val="50"/>
        <color theme="1"/>
        <rFont val="Angsana New"/>
        <family val="1"/>
      </rPr>
      <t>บวก</t>
    </r>
    <r>
      <rPr>
        <b/>
        <sz val="50"/>
        <color theme="1"/>
        <rFont val="Angsana New"/>
        <family val="1"/>
      </rPr>
      <t xml:space="preserve"> เงินประกัน</t>
    </r>
  </si>
  <si>
    <t>กสิกร 144-2-79103-8</t>
  </si>
  <si>
    <t>ขายหมูกระทะ</t>
  </si>
  <si>
    <t>นางสาวภิญญ์วิภา  ตามิ</t>
  </si>
  <si>
    <t>ฝากเงินเข้าบัญชี คุณนภา BAY เลขที่บัญชี 080-9-00794-8</t>
  </si>
  <si>
    <t>รวมยอดเงินเข้าบัญชี</t>
  </si>
  <si>
    <t>บวก ค่าเช่าค้างจ่าย</t>
  </si>
  <si>
    <t>ขายเบอร์เกอร์รี่</t>
  </si>
  <si>
    <r>
      <t xml:space="preserve">นายศิรภพ  วิยาภรณ์ </t>
    </r>
    <r>
      <rPr>
        <sz val="60"/>
        <color theme="1"/>
        <rFont val="AngsanaUPC"/>
        <family val="1"/>
      </rPr>
      <t>(ร้านนวด)</t>
    </r>
  </si>
  <si>
    <r>
      <t xml:space="preserve">น.ส. เพียงตวัน  อารีย์ </t>
    </r>
    <r>
      <rPr>
        <sz val="60"/>
        <color rgb="FFFF0000"/>
        <rFont val="AngsanaUPC"/>
        <family val="1"/>
      </rPr>
      <t>ขายก๋วยเตี๋ยว</t>
    </r>
  </si>
  <si>
    <r>
      <t xml:space="preserve">นายวรพล  แม้นจิตต์ </t>
    </r>
    <r>
      <rPr>
        <sz val="60"/>
        <color rgb="FFFF0000"/>
        <rFont val="AngsanaUPC"/>
        <family val="1"/>
      </rPr>
      <t>ขายน้ำกระท่อม</t>
    </r>
  </si>
  <si>
    <r>
      <t xml:space="preserve">น.ส. ภิญญ์วิภา  ตามิ </t>
    </r>
    <r>
      <rPr>
        <sz val="60"/>
        <color rgb="FFFF0000"/>
        <rFont val="AngsanaUPC"/>
        <family val="1"/>
      </rPr>
      <t>ขายหมูกระทะ</t>
    </r>
  </si>
  <si>
    <r>
      <t xml:space="preserve">น.ส. ธิดารัตน์  ตันชัยสวัสดิ์ </t>
    </r>
    <r>
      <rPr>
        <sz val="60"/>
        <color rgb="FFFF0000"/>
        <rFont val="AngsanaUPC"/>
        <family val="1"/>
      </rPr>
      <t>ขายเบอร์เกอร์รี่</t>
    </r>
  </si>
  <si>
    <t>รายละเอียดเงินเข้าบัญชี</t>
  </si>
  <si>
    <t>น.ส.ภาวินี  (ซอยมายเฮาส์)</t>
  </si>
  <si>
    <t>บวก</t>
  </si>
  <si>
    <t>หัก</t>
  </si>
  <si>
    <t>น.ส. ภาวิณี (เชียงใหม่)</t>
  </si>
  <si>
    <t>คุณนภา (ทันตกรรม ร.9)</t>
  </si>
  <si>
    <t>คุณกมลวรรณ กลอนกลาง</t>
  </si>
  <si>
    <r>
      <rPr>
        <u/>
        <sz val="40"/>
        <color theme="1"/>
        <rFont val="Angsana New"/>
        <family val="1"/>
      </rPr>
      <t xml:space="preserve">บวก </t>
    </r>
    <r>
      <rPr>
        <sz val="40"/>
        <color theme="1"/>
        <rFont val="Angsana New"/>
        <family val="1"/>
      </rPr>
      <t xml:space="preserve">     รับเงินค่าเช่า</t>
    </r>
  </si>
  <si>
    <r>
      <rPr>
        <u/>
        <sz val="40"/>
        <color theme="1"/>
        <rFont val="Angsana New"/>
        <family val="1"/>
      </rPr>
      <t>หัก</t>
    </r>
    <r>
      <rPr>
        <sz val="40"/>
        <color theme="1"/>
        <rFont val="Angsana New"/>
        <family val="1"/>
      </rPr>
      <t xml:space="preserve">  ฝากเงินเข้าบัญชีคุณนภา Bay 080-9-00794-8</t>
    </r>
  </si>
  <si>
    <t>น.ส.รุจิรา  (แยกข่วงสิงห์)</t>
  </si>
  <si>
    <t>น.ส.จรรยพรรศ  (บ้านโป่ง)</t>
  </si>
  <si>
    <t>คุณธนพงษ์  พลอยพลาย</t>
  </si>
  <si>
    <t>น.ส. ธิดารัตน์  ตันชัยสวัสดิ์</t>
  </si>
  <si>
    <r>
      <rPr>
        <u/>
        <sz val="40"/>
        <color theme="0"/>
        <rFont val="Angsana New"/>
        <family val="1"/>
      </rPr>
      <t xml:space="preserve">บวก </t>
    </r>
    <r>
      <rPr>
        <sz val="40"/>
        <color theme="0"/>
        <rFont val="Angsana New"/>
        <family val="1"/>
      </rPr>
      <t xml:space="preserve"> </t>
    </r>
    <r>
      <rPr>
        <sz val="40"/>
        <color theme="1"/>
        <rFont val="Angsana New"/>
        <family val="1"/>
      </rPr>
      <t xml:space="preserve">    ดอกเบี้ยรับ</t>
    </r>
  </si>
  <si>
    <t>บัญชี คุณภาวินี           SCB 611-261071-1</t>
  </si>
  <si>
    <t>คุณภานุพงษ์  เพชรทอง</t>
  </si>
  <si>
    <r>
      <t xml:space="preserve">บจ.  ดีแทค ไตรเน็ต </t>
    </r>
    <r>
      <rPr>
        <sz val="65"/>
        <color rgb="FFFF0000"/>
        <rFont val="AngsanaUPC"/>
        <family val="1"/>
      </rPr>
      <t xml:space="preserve"> เช่าในนามภาวิณี วังมะนาว</t>
    </r>
  </si>
  <si>
    <t xml:space="preserve">ค่าเช่ารับล่วงหน้า </t>
  </si>
  <si>
    <t>1.นายทรงพล  หมื่นแก้ว วัดโกสินาราย์ ท่าผา</t>
  </si>
  <si>
    <t>2.นางนัยณา สีดา บ่อทรายบ้านยาง</t>
  </si>
  <si>
    <t>3.นางนัยณา  สีดา บ่อทรายสระตาสัง</t>
  </si>
  <si>
    <t>บจ.  ดีแทค ไตรเน็ต DTAC (บ้านโป่ง)</t>
  </si>
  <si>
    <t>หัก เงิน(ขาด)เกิน</t>
  </si>
  <si>
    <t>หัก ภาษี ณ ที่จ่าย</t>
  </si>
  <si>
    <r>
      <t xml:space="preserve">คุณจินดา  โกพลรัตน์ </t>
    </r>
    <r>
      <rPr>
        <sz val="60"/>
        <color rgb="FFFF0000"/>
        <rFont val="Angsana New"/>
        <family val="1"/>
      </rPr>
      <t>(ผู้เช่าใหม่)</t>
    </r>
  </si>
  <si>
    <t xml:space="preserve">กสิกรไทย/บ้านโป่ง  119-3-21471-8  คุณรุจิรา  เกตุสถิตย์ </t>
  </si>
  <si>
    <t>บ้านตลิ่งชัน</t>
  </si>
  <si>
    <t xml:space="preserve">ฝากเงินสด </t>
  </si>
  <si>
    <t>เกิน (ขาด)</t>
  </si>
  <si>
    <t>คุณฐิติรัตน์ มั่งคง</t>
  </si>
  <si>
    <t xml:space="preserve">รวมยอดเงินเข้าบัญชี </t>
  </si>
  <si>
    <t>คุณจินดา  โกพลรัตน์ (ผู้เช่าใหม่)</t>
  </si>
  <si>
    <t>09/09/2568 -31/1/2571</t>
  </si>
  <si>
    <t>ย้ายออก,ริบเงิน</t>
  </si>
  <si>
    <t>ปี 2569</t>
  </si>
  <si>
    <t>AUNG ZIN</t>
  </si>
  <si>
    <t>01/01/2569 - 31/12/2569</t>
  </si>
  <si>
    <t>01/01/2569 - 31/12/2571</t>
  </si>
  <si>
    <t>01/11/2568 - 31/10/2571</t>
  </si>
  <si>
    <r>
      <t xml:space="preserve">บ้านท.3 401/1 ถนนทรงพล ต. บ้านโป่ง  </t>
    </r>
    <r>
      <rPr>
        <sz val="18"/>
        <color rgb="FFFF0000"/>
        <rFont val="AngsanaUPC"/>
        <family val="1"/>
      </rPr>
      <t>(บ้านร้านเพลง)</t>
    </r>
  </si>
  <si>
    <t>นางนาถตยา มหพันธ์</t>
  </si>
  <si>
    <t>จังหวัดกาญจนบุรี</t>
  </si>
  <si>
    <t>ที่ดินอำเภอห้วยกระเจา  (ปลูกมันสำปะหลัง)</t>
  </si>
  <si>
    <t>5-0-05</t>
  </si>
  <si>
    <t>นางมุกดา ทับเปีย</t>
  </si>
  <si>
    <t>ไทยพาณิชย์/บ้านโป่ง 611-281075-3  คุณจรรยพรรศ (ชำระรายปี)</t>
  </si>
  <si>
    <t>ค่าเช่าประจำเดือนมกราคม 2569</t>
  </si>
  <si>
    <t>ค่าเช่าเดือนมกราคม 2569</t>
  </si>
  <si>
    <t>4.นายสมปอง  กระต่ายทอง บ่อทรายหน่องสาหร่าย</t>
  </si>
  <si>
    <t>ยอดคงเหลือในบัญชี 26/01/2569</t>
  </si>
  <si>
    <t>ค่าเช่าค้างจ่าย เดือนธ.ค. 68  ค่ายหลวง น.ส. ภิญญ์วิภา  ตามิ ขายหมูกระทะ</t>
  </si>
  <si>
    <t>อู่ซ่อมรถยนต์ เชียงใหม่ คุณสมชาย โอนเงินขาด</t>
  </si>
  <si>
    <t>ห้องว่าง 538,541,542</t>
  </si>
  <si>
    <t>ประจำเดือนมกราคม 2569</t>
  </si>
  <si>
    <t>ค่าเช่าประจำเดือนกุมภาพันธ์  2569</t>
  </si>
  <si>
    <t>ค่าเช่าเดือนกุมภาพันธ์  2569</t>
  </si>
  <si>
    <t>ประจำเดือนกุมภาพันธ์  2569</t>
  </si>
  <si>
    <t>ที่ดินหวยกระเจ้า</t>
  </si>
  <si>
    <t>ค้างจ่าย</t>
  </si>
  <si>
    <t>นายสมปอง  กระต่ายทอง บ่อทรายหนองสาหร่าย</t>
  </si>
  <si>
    <t>นางนัยณา สีดา บ่อทรายบ้านยาง</t>
  </si>
  <si>
    <t>นางนัยณา  สีดา บ่อทรายสระตาสัง</t>
  </si>
  <si>
    <t>นายทรงพล  หมื่นแก้ว วัดโกสินาราย์ ท่าผา</t>
  </si>
  <si>
    <t>อู่ซ่อมรถยนต์ เชียงใหม่ คุณสมชาย โอนเงินขาดเดือนม.ค. 69</t>
  </si>
  <si>
    <t>ค่าเช่าค้างจ่าย ค่ายหลวง น.ส. ภิญญ์วิภา  ตามิ ขายหมูกระทะ</t>
  </si>
  <si>
    <t>รวมรับเงิน</t>
  </si>
  <si>
    <t>ยอดคงเหลือในบัญชี  วันที่  24/02/2569</t>
  </si>
  <si>
    <t>ประจำเดือนมีนาคม  2569</t>
  </si>
  <si>
    <t>ค่าเช่าประจำเดือนมีนาคม   2569</t>
  </si>
  <si>
    <t>ค่าเช่าเดือนมีนาคม  2569</t>
  </si>
  <si>
    <t>ยอดคงเหลือในบัญชี  วันที่  23/03/2569</t>
  </si>
  <si>
    <t>ประจำเดือนเมษายน  2569</t>
  </si>
  <si>
    <t>ค่าเช่าประจำเดือนเมษายน   2569</t>
  </si>
  <si>
    <t>ค่าเช่าเดือนเมษายน  2569</t>
  </si>
  <si>
    <t>PHAM  DINH TOA</t>
  </si>
  <si>
    <t>ยอดคงเหลือในบัญชี  วันที่  24/04/2569</t>
  </si>
  <si>
    <t>นายรันต์ นางโช</t>
  </si>
  <si>
    <t>ห้องว่าง 538,541</t>
  </si>
  <si>
    <t>ประจำเดือนพฤษภาคม  2569</t>
  </si>
  <si>
    <t>ค่าเช่าประจำเดือนพฤษภาคม   2569</t>
  </si>
  <si>
    <t>ค่าเช่าเดือนพฤษภาคม  2569</t>
  </si>
  <si>
    <t>ประจำเดือนพฤษภาคม  2569  บัญชี  SCB น.ส. ภาวินี จอมพล 611-281071-1</t>
  </si>
  <si>
    <t>ห้องว่าง 538</t>
  </si>
  <si>
    <t>THAY HTAY LIN</t>
  </si>
  <si>
    <t>นายวรัญญู นารี (ร้านซักผ้า)</t>
  </si>
  <si>
    <t>บวก เงินประกัน</t>
  </si>
  <si>
    <t>หัก ค้างจ่าย</t>
  </si>
  <si>
    <t>บริษัท สมบุญ พัฒนา จำกัด</t>
  </si>
  <si>
    <t>1.ค่าเช่าค้างจ่าย ค่ายหลวง น.ส. ภิญญ์วิภา  ตามิ ขายหมูกระทะ</t>
  </si>
  <si>
    <t>2.เงินประกัน บ้านตลิ่งชัน</t>
  </si>
  <si>
    <t xml:space="preserve">ค่าเช่าค้างจ่าย ทาวน์เฮ้าท์เชียงใหม่ เลขที่ 107/11 </t>
  </si>
  <si>
    <t>3.เงินประกัน ที่ดินค่ายหลวงร้านซักผ้า</t>
  </si>
  <si>
    <t>ยอดคงเหลือในบัญชี  วันที่  22/05/2569</t>
  </si>
  <si>
    <t>11/03/2564 - 31/05/2569</t>
  </si>
  <si>
    <t>16/02/2568 - 31/05/2569</t>
  </si>
  <si>
    <t>01/03/2568 - 31/05/2569</t>
  </si>
  <si>
    <t>01/05/2568 - 31/05/2569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</si>
</sst>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dd/mm/yyyy"/>
  </numFmts>
  <fonts count="8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4"/>
      <name val="Angsana New"/>
      <family val="1"/>
    </font>
    <font>
      <sz val="14"/>
      <color indexed="8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sz val="14"/>
      <color theme="1"/>
      <name val="Angsana New"/>
      <family val="1"/>
    </font>
    <font>
      <sz val="14"/>
      <color rgb="FFFF0000"/>
      <name val="Angsana New"/>
      <family val="1"/>
    </font>
    <font>
      <b/>
      <sz val="16"/>
      <color indexed="8"/>
      <name val="Angsana New"/>
      <family val="1"/>
    </font>
    <font>
      <b/>
      <sz val="14"/>
      <color theme="1"/>
      <name val="AngsanaUPC"/>
      <family val="1"/>
    </font>
    <font>
      <sz val="14"/>
      <color theme="1"/>
      <name val="AngsanaUPC"/>
      <family val="1"/>
    </font>
    <font>
      <sz val="14"/>
      <color rgb="FFFF0000"/>
      <name val="AngsanaUPC"/>
      <family val="1"/>
    </font>
    <font>
      <b/>
      <sz val="16"/>
      <color rgb="FFFF0000"/>
      <name val="AngsanaUPC"/>
      <family val="1"/>
    </font>
    <font>
      <b/>
      <sz val="18"/>
      <color rgb="FFFF0000"/>
      <name val="AngsanaUPC"/>
      <family val="1"/>
    </font>
    <font>
      <b/>
      <sz val="20"/>
      <color theme="1"/>
      <name val="AngsanaUPC"/>
      <family val="1"/>
    </font>
    <font>
      <b/>
      <sz val="9"/>
      <color indexed="81"/>
      <name val="Tahoma"/>
      <family val="2"/>
    </font>
    <font>
      <b/>
      <sz val="14"/>
      <color rgb="FFFF0000"/>
      <name val="Angsana New"/>
      <family val="1"/>
    </font>
    <font>
      <sz val="9"/>
      <color indexed="81"/>
      <name val="Tahoma"/>
      <family val="2"/>
    </font>
    <font>
      <b/>
      <sz val="16"/>
      <color theme="1"/>
      <name val="AngsanaUPC"/>
      <family val="1"/>
    </font>
    <font>
      <sz val="48"/>
      <color theme="1"/>
      <name val="Angsana New"/>
      <family val="1"/>
      <charset val="222"/>
    </font>
    <font>
      <sz val="48"/>
      <color rgb="FFFF0000"/>
      <name val="Angsana New"/>
      <family val="1"/>
      <charset val="222"/>
    </font>
    <font>
      <sz val="50"/>
      <color theme="1"/>
      <name val="Angsana New"/>
      <family val="1"/>
    </font>
    <font>
      <b/>
      <sz val="50"/>
      <color theme="1"/>
      <name val="Angsana New"/>
      <family val="1"/>
    </font>
    <font>
      <sz val="50"/>
      <color rgb="FFFF0000"/>
      <name val="Angsana New"/>
      <family val="1"/>
    </font>
    <font>
      <sz val="60"/>
      <color theme="1"/>
      <name val="Angsana New"/>
      <family val="1"/>
    </font>
    <font>
      <b/>
      <sz val="60"/>
      <color theme="1"/>
      <name val="Angsana New"/>
      <family val="1"/>
    </font>
    <font>
      <sz val="50"/>
      <color theme="1"/>
      <name val="Angsana New"/>
      <family val="1"/>
      <charset val="222"/>
    </font>
    <font>
      <sz val="59"/>
      <color theme="1"/>
      <name val="Angsana New"/>
      <family val="1"/>
    </font>
    <font>
      <b/>
      <sz val="62"/>
      <color rgb="FFFF0000"/>
      <name val="Angsana New"/>
      <family val="1"/>
    </font>
    <font>
      <sz val="16"/>
      <color theme="1"/>
      <name val="Angsana New"/>
      <family val="1"/>
    </font>
    <font>
      <sz val="16"/>
      <color theme="1"/>
      <name val="AngsanaUPC"/>
      <family val="1"/>
    </font>
    <font>
      <sz val="16"/>
      <color rgb="FFFF0000"/>
      <name val="AngsanaUPC"/>
      <family val="1"/>
    </font>
    <font>
      <b/>
      <sz val="18"/>
      <color theme="1"/>
      <name val="AngsanaUPC"/>
      <family val="1"/>
    </font>
    <font>
      <sz val="18"/>
      <color theme="1"/>
      <name val="AngsanaUPC"/>
      <family val="1"/>
    </font>
    <font>
      <sz val="18"/>
      <color rgb="FFFF0000"/>
      <name val="AngsanaUPC"/>
      <family val="1"/>
    </font>
    <font>
      <sz val="18"/>
      <name val="AngsanaUPC"/>
      <family val="1"/>
    </font>
    <font>
      <b/>
      <sz val="22"/>
      <color theme="1"/>
      <name val="AngsanaUPC"/>
      <family val="1"/>
    </font>
    <font>
      <sz val="72"/>
      <color theme="1"/>
      <name val="Angsana New"/>
      <family val="1"/>
      <charset val="222"/>
    </font>
    <font>
      <sz val="62"/>
      <color theme="1"/>
      <name val="Angsana New"/>
      <family val="1"/>
    </font>
    <font>
      <b/>
      <sz val="62"/>
      <color theme="1"/>
      <name val="Angsana New"/>
      <family val="1"/>
    </font>
    <font>
      <sz val="52"/>
      <color theme="1"/>
      <name val="Angsana New"/>
      <family val="1"/>
    </font>
    <font>
      <b/>
      <sz val="60"/>
      <color theme="1"/>
      <name val="Angsana New"/>
      <family val="1"/>
      <charset val="222"/>
    </font>
    <font>
      <sz val="63"/>
      <color theme="1"/>
      <name val="Angsana New"/>
      <family val="1"/>
    </font>
    <font>
      <sz val="65"/>
      <color theme="1"/>
      <name val="Angsana New"/>
      <family val="1"/>
    </font>
    <font>
      <b/>
      <sz val="65"/>
      <color theme="1"/>
      <name val="Angsana New"/>
      <family val="1"/>
    </font>
    <font>
      <b/>
      <sz val="51"/>
      <color theme="1"/>
      <name val="Angsana New"/>
      <family val="1"/>
    </font>
    <font>
      <u/>
      <sz val="59"/>
      <color theme="1"/>
      <name val="Angsana New"/>
      <family val="1"/>
    </font>
    <font>
      <b/>
      <sz val="63"/>
      <color rgb="FFFF0000"/>
      <name val="Angsana New"/>
      <family val="1"/>
    </font>
    <font>
      <b/>
      <sz val="63"/>
      <color theme="1"/>
      <name val="Angsana New"/>
      <family val="1"/>
    </font>
    <font>
      <b/>
      <u/>
      <sz val="50"/>
      <color theme="1"/>
      <name val="Angsana New"/>
      <family val="1"/>
    </font>
    <font>
      <b/>
      <sz val="48"/>
      <color theme="1"/>
      <name val="Angsana New"/>
      <family val="1"/>
    </font>
    <font>
      <b/>
      <u/>
      <sz val="48"/>
      <color theme="1"/>
      <name val="Angsana New"/>
      <family val="1"/>
    </font>
    <font>
      <sz val="60"/>
      <color theme="1"/>
      <name val="Angsana New"/>
      <family val="1"/>
      <charset val="222"/>
    </font>
    <font>
      <sz val="60"/>
      <color theme="1"/>
      <name val="AngsanaUPC"/>
      <family val="1"/>
      <charset val="222"/>
    </font>
    <font>
      <sz val="60"/>
      <color rgb="FFFF0000"/>
      <name val="AngsanaUPC"/>
      <family val="1"/>
      <charset val="222"/>
    </font>
    <font>
      <sz val="60"/>
      <name val="Angsana New"/>
      <family val="1"/>
      <charset val="222"/>
    </font>
    <font>
      <sz val="60"/>
      <color rgb="FFFF0000"/>
      <name val="AngsanaUPC"/>
      <family val="1"/>
    </font>
    <font>
      <sz val="60"/>
      <color theme="1"/>
      <name val="AngsanaUPC"/>
      <family val="1"/>
    </font>
    <font>
      <sz val="28"/>
      <color theme="1"/>
      <name val="Angsana New"/>
      <family val="1"/>
    </font>
    <font>
      <b/>
      <sz val="28"/>
      <color theme="1"/>
      <name val="Angsana New"/>
      <family val="1"/>
    </font>
    <font>
      <sz val="30"/>
      <color theme="1"/>
      <name val="Angsana New"/>
      <family val="1"/>
    </font>
    <font>
      <b/>
      <sz val="36"/>
      <color theme="1"/>
      <name val="Angsana New"/>
      <family val="1"/>
    </font>
    <font>
      <sz val="36"/>
      <color theme="1"/>
      <name val="Angsana New"/>
      <family val="1"/>
    </font>
    <font>
      <sz val="40"/>
      <color theme="1"/>
      <name val="Angsana New"/>
      <family val="1"/>
    </font>
    <font>
      <b/>
      <sz val="40"/>
      <color theme="1"/>
      <name val="Angsana New"/>
      <family val="1"/>
    </font>
    <font>
      <b/>
      <sz val="62"/>
      <color theme="1"/>
      <name val="Angsana New"/>
      <family val="1"/>
      <charset val="222"/>
    </font>
    <font>
      <b/>
      <sz val="52"/>
      <color theme="1"/>
      <name val="Angsana New"/>
      <family val="1"/>
    </font>
    <font>
      <u/>
      <sz val="40"/>
      <color theme="1"/>
      <name val="Angsana New"/>
      <family val="1"/>
    </font>
    <font>
      <b/>
      <sz val="35"/>
      <color theme="1"/>
      <name val="Angsana New"/>
      <family val="1"/>
    </font>
    <font>
      <b/>
      <sz val="45"/>
      <color theme="1"/>
      <name val="Angsana New"/>
      <family val="1"/>
    </font>
    <font>
      <b/>
      <sz val="40"/>
      <color rgb="FFFF0000"/>
      <name val="Angsana New"/>
      <family val="1"/>
    </font>
    <font>
      <b/>
      <sz val="38"/>
      <color theme="1"/>
      <name val="Angsana New"/>
      <family val="1"/>
    </font>
    <font>
      <b/>
      <sz val="37"/>
      <color theme="1"/>
      <name val="Angsana New"/>
      <family val="1"/>
    </font>
    <font>
      <b/>
      <sz val="67"/>
      <color theme="1"/>
      <name val="Angsana New"/>
      <family val="1"/>
      <charset val="222"/>
    </font>
    <font>
      <sz val="67"/>
      <color rgb="FFFF0000"/>
      <name val="Angsana New"/>
      <family val="1"/>
      <charset val="222"/>
    </font>
    <font>
      <sz val="67"/>
      <color theme="1"/>
      <name val="Angsana New"/>
      <family val="1"/>
      <charset val="222"/>
    </font>
    <font>
      <u/>
      <sz val="40"/>
      <color theme="0"/>
      <name val="Angsana New"/>
      <family val="1"/>
    </font>
    <font>
      <sz val="40"/>
      <color theme="0"/>
      <name val="Angsana New"/>
      <family val="1"/>
    </font>
    <font>
      <b/>
      <sz val="55"/>
      <color theme="1"/>
      <name val="Angsana New"/>
      <family val="1"/>
    </font>
    <font>
      <sz val="65"/>
      <color rgb="FFFF0000"/>
      <name val="AngsanaUPC"/>
      <family val="1"/>
    </font>
    <font>
      <sz val="65"/>
      <color theme="1"/>
      <name val="AngsanaUPC"/>
      <family val="1"/>
    </font>
    <font>
      <sz val="60"/>
      <color rgb="FFFF0000"/>
      <name val="Angsana New"/>
      <family val="1"/>
    </font>
    <font>
      <b/>
      <u/>
      <sz val="40"/>
      <color theme="1"/>
      <name val="Angsana New"/>
      <family val="1"/>
    </font>
    <font>
      <sz val="38"/>
      <color theme="1"/>
      <name val="Angsana New"/>
      <family val="1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498">
    <xf numFmtId="0" fontId="0" fillId="0" borderId="0" xfId="0"/>
    <xf numFmtId="0" fontId="3" fillId="0" borderId="0" xfId="0" applyFont="1"/>
    <xf numFmtId="49" fontId="4" fillId="0" borderId="10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left"/>
    </xf>
    <xf numFmtId="43" fontId="4" fillId="0" borderId="10" xfId="1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43" fontId="6" fillId="0" borderId="8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3" fontId="6" fillId="4" borderId="15" xfId="0" applyNumberFormat="1" applyFont="1" applyFill="1" applyBorder="1" applyAlignment="1">
      <alignment vertical="center"/>
    </xf>
    <xf numFmtId="43" fontId="3" fillId="0" borderId="0" xfId="1" applyFont="1"/>
    <xf numFmtId="0" fontId="3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43" fontId="3" fillId="0" borderId="3" xfId="1" applyFont="1" applyFill="1" applyBorder="1" applyAlignment="1">
      <alignment horizontal="left"/>
    </xf>
    <xf numFmtId="0" fontId="8" fillId="0" borderId="3" xfId="0" applyFont="1" applyBorder="1" applyAlignment="1">
      <alignment horizontal="center"/>
    </xf>
    <xf numFmtId="43" fontId="3" fillId="0" borderId="0" xfId="0" applyNumberFormat="1" applyFont="1"/>
    <xf numFmtId="43" fontId="7" fillId="0" borderId="3" xfId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11" fillId="0" borderId="0" xfId="0" applyFont="1"/>
    <xf numFmtId="0" fontId="10" fillId="0" borderId="2" xfId="0" applyFont="1" applyBorder="1" applyAlignment="1">
      <alignment horizontal="center"/>
    </xf>
    <xf numFmtId="43" fontId="11" fillId="0" borderId="0" xfId="1" applyFont="1"/>
    <xf numFmtId="43" fontId="11" fillId="0" borderId="8" xfId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/>
    <xf numFmtId="15" fontId="11" fillId="0" borderId="7" xfId="0" applyNumberFormat="1" applyFont="1" applyBorder="1"/>
    <xf numFmtId="43" fontId="11" fillId="0" borderId="7" xfId="1" applyFont="1" applyBorder="1"/>
    <xf numFmtId="0" fontId="11" fillId="0" borderId="3" xfId="0" applyFont="1" applyBorder="1" applyAlignment="1">
      <alignment horizontal="center"/>
    </xf>
    <xf numFmtId="0" fontId="11" fillId="0" borderId="3" xfId="0" applyFont="1" applyBorder="1"/>
    <xf numFmtId="15" fontId="11" fillId="0" borderId="3" xfId="0" applyNumberFormat="1" applyFont="1" applyBorder="1"/>
    <xf numFmtId="43" fontId="11" fillId="0" borderId="3" xfId="1" applyFont="1" applyBorder="1"/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15" fontId="11" fillId="0" borderId="5" xfId="0" applyNumberFormat="1" applyFont="1" applyBorder="1"/>
    <xf numFmtId="43" fontId="11" fillId="0" borderId="5" xfId="1" applyFont="1" applyBorder="1"/>
    <xf numFmtId="0" fontId="11" fillId="0" borderId="0" xfId="0" applyFont="1" applyAlignment="1">
      <alignment horizontal="center"/>
    </xf>
    <xf numFmtId="0" fontId="11" fillId="0" borderId="4" xfId="0" applyFont="1" applyBorder="1"/>
    <xf numFmtId="43" fontId="10" fillId="0" borderId="2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15" fontId="11" fillId="0" borderId="4" xfId="0" applyNumberFormat="1" applyFont="1" applyBorder="1"/>
    <xf numFmtId="43" fontId="11" fillId="0" borderId="4" xfId="1" applyFont="1" applyBorder="1"/>
    <xf numFmtId="43" fontId="10" fillId="0" borderId="0" xfId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1" fillId="0" borderId="3" xfId="1" applyFont="1" applyBorder="1" applyAlignment="1">
      <alignment horizontal="center"/>
    </xf>
    <xf numFmtId="43" fontId="11" fillId="0" borderId="7" xfId="1" applyFont="1" applyBorder="1" applyAlignment="1">
      <alignment horizontal="center"/>
    </xf>
    <xf numFmtId="43" fontId="11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43" fontId="11" fillId="0" borderId="8" xfId="1" applyFont="1" applyBorder="1" applyAlignment="1">
      <alignment horizontal="center" vertical="center"/>
    </xf>
    <xf numFmtId="43" fontId="11" fillId="0" borderId="5" xfId="1" applyFont="1" applyBorder="1" applyAlignment="1">
      <alignment horizontal="center"/>
    </xf>
    <xf numFmtId="43" fontId="11" fillId="0" borderId="4" xfId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9" xfId="0" applyFont="1" applyBorder="1"/>
    <xf numFmtId="15" fontId="11" fillId="0" borderId="9" xfId="0" applyNumberFormat="1" applyFont="1" applyBorder="1"/>
    <xf numFmtId="43" fontId="11" fillId="0" borderId="9" xfId="1" applyFont="1" applyBorder="1"/>
    <xf numFmtId="0" fontId="11" fillId="0" borderId="9" xfId="0" applyFont="1" applyBorder="1" applyAlignment="1">
      <alignment horizontal="left"/>
    </xf>
    <xf numFmtId="43" fontId="11" fillId="0" borderId="9" xfId="1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17" fillId="3" borderId="0" xfId="1" applyFont="1" applyFill="1"/>
    <xf numFmtId="0" fontId="13" fillId="0" borderId="8" xfId="0" applyFont="1" applyBorder="1" applyAlignment="1">
      <alignment vertical="center" wrapText="1"/>
    </xf>
    <xf numFmtId="187" fontId="7" fillId="0" borderId="3" xfId="1" applyNumberFormat="1" applyFont="1" applyFill="1" applyBorder="1" applyAlignment="1">
      <alignment horizontal="center"/>
    </xf>
    <xf numFmtId="17" fontId="3" fillId="0" borderId="0" xfId="1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9" fillId="0" borderId="8" xfId="0" applyFont="1" applyBorder="1" applyAlignment="1">
      <alignment vertical="center"/>
    </xf>
    <xf numFmtId="43" fontId="3" fillId="0" borderId="0" xfId="0" applyNumberFormat="1" applyFont="1" applyAlignment="1">
      <alignment horizontal="center"/>
    </xf>
    <xf numFmtId="43" fontId="7" fillId="0" borderId="3" xfId="1" applyFont="1" applyFill="1" applyBorder="1" applyAlignment="1">
      <alignment horizontal="left"/>
    </xf>
    <xf numFmtId="0" fontId="20" fillId="0" borderId="0" xfId="0" applyFont="1"/>
    <xf numFmtId="43" fontId="20" fillId="0" borderId="0" xfId="1" applyFont="1" applyBorder="1"/>
    <xf numFmtId="43" fontId="20" fillId="0" borderId="0" xfId="1" applyFont="1"/>
    <xf numFmtId="43" fontId="20" fillId="0" borderId="0" xfId="0" applyNumberFormat="1" applyFont="1"/>
    <xf numFmtId="43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horizontal="left"/>
    </xf>
    <xf numFmtId="43" fontId="22" fillId="0" borderId="0" xfId="1" applyFont="1"/>
    <xf numFmtId="43" fontId="22" fillId="0" borderId="0" xfId="0" applyNumberFormat="1" applyFont="1"/>
    <xf numFmtId="43" fontId="22" fillId="0" borderId="0" xfId="1" applyFont="1" applyBorder="1"/>
    <xf numFmtId="43" fontId="24" fillId="0" borderId="0" xfId="0" applyNumberFormat="1" applyFont="1"/>
    <xf numFmtId="0" fontId="25" fillId="0" borderId="0" xfId="0" applyFont="1"/>
    <xf numFmtId="43" fontId="25" fillId="0" borderId="0" xfId="0" applyNumberFormat="1" applyFont="1"/>
    <xf numFmtId="0" fontId="28" fillId="0" borderId="0" xfId="0" applyFont="1"/>
    <xf numFmtId="0" fontId="30" fillId="0" borderId="3" xfId="0" applyFont="1" applyBorder="1" applyAlignment="1">
      <alignment horizontal="left"/>
    </xf>
    <xf numFmtId="0" fontId="31" fillId="0" borderId="0" xfId="0" applyFont="1"/>
    <xf numFmtId="0" fontId="19" fillId="0" borderId="0" xfId="0" applyFont="1" applyAlignment="1">
      <alignment horizontal="center"/>
    </xf>
    <xf numFmtId="0" fontId="31" fillId="0" borderId="4" xfId="0" applyFont="1" applyBorder="1"/>
    <xf numFmtId="0" fontId="31" fillId="0" borderId="3" xfId="0" applyFont="1" applyBorder="1"/>
    <xf numFmtId="0" fontId="32" fillId="0" borderId="20" xfId="0" applyFont="1" applyBorder="1"/>
    <xf numFmtId="0" fontId="31" fillId="0" borderId="7" xfId="0" applyFont="1" applyBorder="1"/>
    <xf numFmtId="0" fontId="31" fillId="0" borderId="11" xfId="0" applyFont="1" applyBorder="1"/>
    <xf numFmtId="0" fontId="34" fillId="0" borderId="0" xfId="0" applyFont="1"/>
    <xf numFmtId="0" fontId="33" fillId="0" borderId="0" xfId="0" applyFont="1" applyAlignment="1">
      <alignment horizontal="center"/>
    </xf>
    <xf numFmtId="43" fontId="33" fillId="0" borderId="0" xfId="1" applyFont="1" applyBorder="1" applyAlignment="1">
      <alignment horizontal="center"/>
    </xf>
    <xf numFmtId="0" fontId="33" fillId="0" borderId="0" xfId="0" applyFont="1" applyAlignment="1">
      <alignment horizontal="left"/>
    </xf>
    <xf numFmtId="0" fontId="33" fillId="0" borderId="1" xfId="0" applyFont="1" applyBorder="1" applyAlignment="1">
      <alignment horizontal="center" vertical="center"/>
    </xf>
    <xf numFmtId="43" fontId="33" fillId="0" borderId="1" xfId="1" applyFont="1" applyBorder="1" applyAlignment="1">
      <alignment horizontal="center"/>
    </xf>
    <xf numFmtId="0" fontId="33" fillId="0" borderId="2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/>
    </xf>
    <xf numFmtId="0" fontId="34" fillId="0" borderId="4" xfId="0" applyFont="1" applyBorder="1"/>
    <xf numFmtId="15" fontId="34" fillId="0" borderId="4" xfId="0" applyNumberFormat="1" applyFont="1" applyBorder="1"/>
    <xf numFmtId="43" fontId="34" fillId="0" borderId="4" xfId="1" applyFont="1" applyBorder="1"/>
    <xf numFmtId="43" fontId="34" fillId="0" borderId="7" xfId="1" applyFont="1" applyBorder="1"/>
    <xf numFmtId="0" fontId="34" fillId="0" borderId="4" xfId="0" applyFont="1" applyBorder="1" applyAlignment="1">
      <alignment horizontal="left"/>
    </xf>
    <xf numFmtId="0" fontId="34" fillId="0" borderId="3" xfId="0" applyFont="1" applyBorder="1" applyAlignment="1">
      <alignment horizontal="center"/>
    </xf>
    <xf numFmtId="43" fontId="34" fillId="0" borderId="4" xfId="1" applyFont="1" applyBorder="1" applyAlignment="1">
      <alignment horizontal="center"/>
    </xf>
    <xf numFmtId="0" fontId="34" fillId="0" borderId="3" xfId="0" applyFont="1" applyBorder="1"/>
    <xf numFmtId="15" fontId="34" fillId="0" borderId="3" xfId="0" applyNumberFormat="1" applyFont="1" applyBorder="1"/>
    <xf numFmtId="43" fontId="34" fillId="0" borderId="3" xfId="1" applyFont="1" applyFill="1" applyBorder="1"/>
    <xf numFmtId="43" fontId="34" fillId="0" borderId="7" xfId="1" applyFont="1" applyBorder="1" applyAlignment="1">
      <alignment horizontal="center"/>
    </xf>
    <xf numFmtId="0" fontId="34" fillId="0" borderId="3" xfId="0" applyFont="1" applyBorder="1" applyAlignment="1">
      <alignment horizontal="left"/>
    </xf>
    <xf numFmtId="43" fontId="36" fillId="0" borderId="3" xfId="1" applyFont="1" applyFill="1" applyBorder="1" applyAlignment="1">
      <alignment horizontal="center"/>
    </xf>
    <xf numFmtId="43" fontId="34" fillId="0" borderId="3" xfId="1" applyFont="1" applyBorder="1"/>
    <xf numFmtId="43" fontId="34" fillId="0" borderId="3" xfId="1" applyFont="1" applyBorder="1" applyAlignment="1">
      <alignment horizontal="center"/>
    </xf>
    <xf numFmtId="43" fontId="34" fillId="0" borderId="17" xfId="1" applyFont="1" applyFill="1" applyBorder="1" applyAlignment="1"/>
    <xf numFmtId="43" fontId="34" fillId="0" borderId="3" xfId="1" applyFont="1" applyFill="1" applyBorder="1" applyAlignment="1">
      <alignment horizontal="center"/>
    </xf>
    <xf numFmtId="43" fontId="34" fillId="0" borderId="7" xfId="1" applyFont="1" applyFill="1" applyBorder="1"/>
    <xf numFmtId="43" fontId="34" fillId="0" borderId="4" xfId="1" applyFont="1" applyFill="1" applyBorder="1"/>
    <xf numFmtId="43" fontId="34" fillId="0" borderId="5" xfId="1" applyFont="1" applyFill="1" applyBorder="1"/>
    <xf numFmtId="14" fontId="34" fillId="0" borderId="3" xfId="0" quotePrefix="1" applyNumberFormat="1" applyFont="1" applyBorder="1" applyAlignment="1">
      <alignment horizontal="center"/>
    </xf>
    <xf numFmtId="43" fontId="34" fillId="0" borderId="4" xfId="1" applyFont="1" applyFill="1" applyBorder="1" applyAlignment="1">
      <alignment horizontal="center"/>
    </xf>
    <xf numFmtId="43" fontId="36" fillId="0" borderId="20" xfId="1" applyFont="1" applyFill="1" applyBorder="1" applyAlignment="1">
      <alignment vertical="center"/>
    </xf>
    <xf numFmtId="0" fontId="34" fillId="0" borderId="7" xfId="0" applyFont="1" applyBorder="1"/>
    <xf numFmtId="0" fontId="34" fillId="0" borderId="7" xfId="0" applyFont="1" applyBorder="1" applyAlignment="1">
      <alignment horizontal="center"/>
    </xf>
    <xf numFmtId="15" fontId="34" fillId="0" borderId="7" xfId="0" applyNumberFormat="1" applyFont="1" applyBorder="1"/>
    <xf numFmtId="0" fontId="34" fillId="0" borderId="7" xfId="0" applyFont="1" applyBorder="1" applyAlignment="1">
      <alignment horizontal="left"/>
    </xf>
    <xf numFmtId="0" fontId="34" fillId="0" borderId="4" xfId="0" applyFont="1" applyBorder="1" applyAlignment="1">
      <alignment horizontal="left" vertical="center"/>
    </xf>
    <xf numFmtId="0" fontId="34" fillId="0" borderId="7" xfId="0" applyFont="1" applyBorder="1" applyAlignment="1">
      <alignment horizontal="left" vertical="center"/>
    </xf>
    <xf numFmtId="0" fontId="14" fillId="0" borderId="19" xfId="0" applyFont="1" applyBorder="1" applyAlignment="1">
      <alignment vertical="center" wrapText="1"/>
    </xf>
    <xf numFmtId="0" fontId="14" fillId="0" borderId="19" xfId="0" applyFont="1" applyBorder="1" applyAlignment="1">
      <alignment horizontal="center" vertical="center" wrapText="1"/>
    </xf>
    <xf numFmtId="0" fontId="34" fillId="0" borderId="18" xfId="0" applyFont="1" applyBorder="1"/>
    <xf numFmtId="43" fontId="34" fillId="0" borderId="3" xfId="1" applyFont="1" applyFill="1" applyBorder="1" applyAlignment="1"/>
    <xf numFmtId="0" fontId="14" fillId="0" borderId="19" xfId="0" applyFont="1" applyBorder="1" applyAlignment="1">
      <alignment vertical="center"/>
    </xf>
    <xf numFmtId="0" fontId="14" fillId="0" borderId="19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/>
    </xf>
    <xf numFmtId="0" fontId="34" fillId="0" borderId="3" xfId="0" quotePrefix="1" applyFont="1" applyBorder="1" applyAlignment="1">
      <alignment horizontal="center"/>
    </xf>
    <xf numFmtId="43" fontId="34" fillId="0" borderId="16" xfId="1" applyFont="1" applyBorder="1"/>
    <xf numFmtId="43" fontId="14" fillId="0" borderId="19" xfId="1" applyFont="1" applyFill="1" applyBorder="1" applyAlignment="1">
      <alignment vertical="center"/>
    </xf>
    <xf numFmtId="0" fontId="14" fillId="0" borderId="19" xfId="0" applyFont="1" applyBorder="1" applyAlignment="1">
      <alignment horizontal="left" vertical="center"/>
    </xf>
    <xf numFmtId="43" fontId="14" fillId="0" borderId="19" xfId="1" applyFont="1" applyFill="1" applyBorder="1" applyAlignment="1">
      <alignment horizontal="center" vertical="center"/>
    </xf>
    <xf numFmtId="43" fontId="34" fillId="0" borderId="8" xfId="1" applyFont="1" applyBorder="1"/>
    <xf numFmtId="0" fontId="34" fillId="0" borderId="1" xfId="0" applyFont="1" applyBorder="1" applyAlignment="1">
      <alignment horizontal="left"/>
    </xf>
    <xf numFmtId="43" fontId="34" fillId="0" borderId="1" xfId="1" applyFont="1" applyBorder="1"/>
    <xf numFmtId="0" fontId="34" fillId="0" borderId="9" xfId="0" applyFont="1" applyBorder="1" applyAlignment="1">
      <alignment horizontal="center"/>
    </xf>
    <xf numFmtId="0" fontId="34" fillId="0" borderId="9" xfId="0" applyFont="1" applyBorder="1"/>
    <xf numFmtId="15" fontId="34" fillId="0" borderId="9" xfId="0" applyNumberFormat="1" applyFont="1" applyBorder="1"/>
    <xf numFmtId="43" fontId="34" fillId="0" borderId="9" xfId="1" applyFont="1" applyBorder="1"/>
    <xf numFmtId="0" fontId="34" fillId="0" borderId="2" xfId="0" applyFont="1" applyBorder="1" applyAlignment="1">
      <alignment horizontal="left"/>
    </xf>
    <xf numFmtId="43" fontId="34" fillId="0" borderId="9" xfId="1" applyFont="1" applyBorder="1" applyAlignment="1">
      <alignment horizontal="center"/>
    </xf>
    <xf numFmtId="43" fontId="34" fillId="0" borderId="2" xfId="1" applyFont="1" applyBorder="1"/>
    <xf numFmtId="43" fontId="33" fillId="2" borderId="14" xfId="1" applyFont="1" applyFill="1" applyBorder="1" applyAlignment="1">
      <alignment vertical="center"/>
    </xf>
    <xf numFmtId="0" fontId="34" fillId="0" borderId="0" xfId="0" applyFont="1" applyAlignment="1">
      <alignment horizontal="center"/>
    </xf>
    <xf numFmtId="43" fontId="34" fillId="0" borderId="0" xfId="1" applyFont="1"/>
    <xf numFmtId="0" fontId="34" fillId="0" borderId="0" xfId="0" applyFont="1" applyAlignment="1">
      <alignment horizontal="left"/>
    </xf>
    <xf numFmtId="43" fontId="34" fillId="0" borderId="0" xfId="1" applyFont="1" applyAlignment="1">
      <alignment horizontal="center"/>
    </xf>
    <xf numFmtId="43" fontId="33" fillId="0" borderId="2" xfId="1" applyFont="1" applyBorder="1" applyAlignment="1">
      <alignment horizontal="center" vertical="center"/>
    </xf>
    <xf numFmtId="43" fontId="33" fillId="0" borderId="8" xfId="1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vertical="center"/>
    </xf>
    <xf numFmtId="0" fontId="38" fillId="0" borderId="0" xfId="0" applyFont="1"/>
    <xf numFmtId="43" fontId="38" fillId="0" borderId="0" xfId="1" applyFont="1"/>
    <xf numFmtId="43" fontId="38" fillId="0" borderId="0" xfId="0" applyNumberFormat="1" applyFont="1"/>
    <xf numFmtId="43" fontId="39" fillId="0" borderId="0" xfId="1" applyFont="1"/>
    <xf numFmtId="0" fontId="39" fillId="0" borderId="0" xfId="0" applyFont="1"/>
    <xf numFmtId="43" fontId="40" fillId="0" borderId="0" xfId="0" applyNumberFormat="1" applyFont="1"/>
    <xf numFmtId="43" fontId="39" fillId="0" borderId="0" xfId="1" applyFont="1" applyBorder="1"/>
    <xf numFmtId="43" fontId="39" fillId="0" borderId="0" xfId="1" applyFont="1" applyFill="1" applyBorder="1"/>
    <xf numFmtId="43" fontId="39" fillId="0" borderId="10" xfId="1" applyFont="1" applyBorder="1"/>
    <xf numFmtId="43" fontId="39" fillId="0" borderId="25" xfId="1" applyFont="1" applyBorder="1"/>
    <xf numFmtId="43" fontId="40" fillId="0" borderId="25" xfId="1" applyFont="1" applyFill="1" applyBorder="1"/>
    <xf numFmtId="43" fontId="29" fillId="3" borderId="10" xfId="1" applyFont="1" applyFill="1" applyBorder="1"/>
    <xf numFmtId="43" fontId="22" fillId="0" borderId="0" xfId="0" applyNumberFormat="1" applyFont="1" applyAlignment="1">
      <alignment horizontal="center" vertical="center"/>
    </xf>
    <xf numFmtId="43" fontId="41" fillId="0" borderId="0" xfId="1" applyFont="1" applyAlignment="1">
      <alignment horizontal="center" vertical="center"/>
    </xf>
    <xf numFmtId="43" fontId="40" fillId="0" borderId="0" xfId="1" applyFont="1" applyFill="1" applyBorder="1"/>
    <xf numFmtId="0" fontId="43" fillId="0" borderId="0" xfId="0" applyFont="1"/>
    <xf numFmtId="0" fontId="44" fillId="0" borderId="0" xfId="0" applyFont="1"/>
    <xf numFmtId="0" fontId="20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43" fontId="3" fillId="0" borderId="3" xfId="1" applyFont="1" applyBorder="1" applyAlignment="1">
      <alignment horizontal="left"/>
    </xf>
    <xf numFmtId="0" fontId="46" fillId="0" borderId="0" xfId="0" applyFont="1" applyAlignment="1">
      <alignment horizontal="center" vertical="center"/>
    </xf>
    <xf numFmtId="0" fontId="27" fillId="0" borderId="0" xfId="0" applyFont="1"/>
    <xf numFmtId="43" fontId="26" fillId="0" borderId="10" xfId="1" applyFont="1" applyBorder="1" applyAlignment="1"/>
    <xf numFmtId="43" fontId="45" fillId="7" borderId="32" xfId="1" applyFont="1" applyFill="1" applyBorder="1"/>
    <xf numFmtId="43" fontId="42" fillId="0" borderId="0" xfId="0" applyNumberFormat="1" applyFont="1"/>
    <xf numFmtId="0" fontId="42" fillId="0" borderId="0" xfId="0" applyFont="1"/>
    <xf numFmtId="0" fontId="42" fillId="8" borderId="24" xfId="0" applyFont="1" applyFill="1" applyBorder="1" applyAlignment="1">
      <alignment horizontal="center"/>
    </xf>
    <xf numFmtId="43" fontId="42" fillId="0" borderId="0" xfId="1" applyFont="1"/>
    <xf numFmtId="43" fontId="41" fillId="0" borderId="0" xfId="0" applyNumberFormat="1" applyFont="1" applyAlignment="1">
      <alignment horizontal="center" vertical="center"/>
    </xf>
    <xf numFmtId="43" fontId="44" fillId="0" borderId="0" xfId="0" applyNumberFormat="1" applyFont="1" applyAlignment="1">
      <alignment horizontal="left"/>
    </xf>
    <xf numFmtId="43" fontId="45" fillId="0" borderId="0" xfId="0" applyNumberFormat="1" applyFont="1" applyAlignment="1">
      <alignment horizontal="left"/>
    </xf>
    <xf numFmtId="0" fontId="23" fillId="2" borderId="25" xfId="0" applyFont="1" applyFill="1" applyBorder="1" applyAlignment="1">
      <alignment horizontal="center" vertical="center"/>
    </xf>
    <xf numFmtId="0" fontId="23" fillId="0" borderId="0" xfId="0" applyFont="1"/>
    <xf numFmtId="0" fontId="23" fillId="2" borderId="10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42" fillId="0" borderId="0" xfId="0" applyFont="1" applyAlignment="1">
      <alignment vertical="center"/>
    </xf>
    <xf numFmtId="43" fontId="7" fillId="0" borderId="0" xfId="1" applyFont="1" applyFill="1"/>
    <xf numFmtId="0" fontId="50" fillId="2" borderId="8" xfId="0" applyFont="1" applyFill="1" applyBorder="1" applyAlignment="1">
      <alignment horizontal="center" vertical="center"/>
    </xf>
    <xf numFmtId="43" fontId="45" fillId="0" borderId="0" xfId="1" applyFont="1" applyFill="1" applyBorder="1"/>
    <xf numFmtId="0" fontId="45" fillId="0" borderId="0" xfId="0" applyFont="1" applyAlignment="1">
      <alignment horizontal="left"/>
    </xf>
    <xf numFmtId="0" fontId="7" fillId="0" borderId="0" xfId="0" applyFont="1"/>
    <xf numFmtId="0" fontId="51" fillId="2" borderId="8" xfId="0" applyFont="1" applyFill="1" applyBorder="1" applyAlignment="1">
      <alignment horizontal="center" vertical="center" wrapText="1"/>
    </xf>
    <xf numFmtId="0" fontId="52" fillId="2" borderId="8" xfId="0" applyFont="1" applyFill="1" applyBorder="1" applyAlignment="1">
      <alignment horizontal="center" vertical="center"/>
    </xf>
    <xf numFmtId="0" fontId="53" fillId="0" borderId="16" xfId="0" applyFont="1" applyBorder="1" applyAlignment="1">
      <alignment horizontal="center"/>
    </xf>
    <xf numFmtId="0" fontId="53" fillId="0" borderId="38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0" fontId="53" fillId="0" borderId="3" xfId="0" applyFont="1" applyBorder="1" applyAlignment="1">
      <alignment horizontal="center"/>
    </xf>
    <xf numFmtId="0" fontId="53" fillId="0" borderId="3" xfId="0" applyFont="1" applyBorder="1" applyAlignment="1">
      <alignment vertical="center"/>
    </xf>
    <xf numFmtId="0" fontId="53" fillId="0" borderId="17" xfId="0" applyFont="1" applyBorder="1" applyAlignment="1">
      <alignment horizontal="left" vertical="center"/>
    </xf>
    <xf numFmtId="0" fontId="53" fillId="0" borderId="35" xfId="0" applyFont="1" applyBorder="1" applyAlignment="1">
      <alignment horizontal="left" vertical="center"/>
    </xf>
    <xf numFmtId="0" fontId="54" fillId="0" borderId="7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0" fontId="54" fillId="0" borderId="35" xfId="0" applyFont="1" applyBorder="1" applyAlignment="1">
      <alignment horizontal="left" vertical="center"/>
    </xf>
    <xf numFmtId="0" fontId="54" fillId="0" borderId="3" xfId="0" applyFont="1" applyBorder="1" applyAlignment="1">
      <alignment horizontal="left" vertical="center"/>
    </xf>
    <xf numFmtId="0" fontId="53" fillId="0" borderId="4" xfId="0" applyFont="1" applyBorder="1" applyAlignment="1">
      <alignment vertical="center"/>
    </xf>
    <xf numFmtId="0" fontId="54" fillId="0" borderId="39" xfId="0" applyFont="1" applyBorder="1" applyAlignment="1">
      <alignment horizontal="left" vertical="center"/>
    </xf>
    <xf numFmtId="0" fontId="54" fillId="0" borderId="37" xfId="0" applyFont="1" applyBorder="1" applyAlignment="1">
      <alignment horizontal="left" vertical="center"/>
    </xf>
    <xf numFmtId="0" fontId="53" fillId="0" borderId="7" xfId="0" applyFont="1" applyBorder="1" applyAlignment="1">
      <alignment horizontal="center"/>
    </xf>
    <xf numFmtId="0" fontId="53" fillId="0" borderId="27" xfId="0" applyFont="1" applyBorder="1" applyAlignment="1">
      <alignment horizontal="left" vertical="center"/>
    </xf>
    <xf numFmtId="0" fontId="53" fillId="0" borderId="29" xfId="0" applyFont="1" applyBorder="1" applyAlignment="1">
      <alignment horizontal="left" vertical="center"/>
    </xf>
    <xf numFmtId="0" fontId="53" fillId="0" borderId="33" xfId="0" applyFont="1" applyBorder="1" applyAlignment="1">
      <alignment horizontal="center"/>
    </xf>
    <xf numFmtId="0" fontId="56" fillId="0" borderId="33" xfId="0" applyFont="1" applyBorder="1" applyAlignment="1">
      <alignment horizontal="left"/>
    </xf>
    <xf numFmtId="0" fontId="53" fillId="0" borderId="40" xfId="0" applyFont="1" applyBorder="1" applyAlignment="1">
      <alignment horizontal="left"/>
    </xf>
    <xf numFmtId="0" fontId="53" fillId="0" borderId="35" xfId="0" applyFont="1" applyBorder="1" applyAlignment="1">
      <alignment horizontal="left"/>
    </xf>
    <xf numFmtId="0" fontId="56" fillId="0" borderId="3" xfId="0" applyFont="1" applyBorder="1" applyAlignment="1">
      <alignment horizontal="left"/>
    </xf>
    <xf numFmtId="0" fontId="53" fillId="0" borderId="17" xfId="0" applyFont="1" applyBorder="1" applyAlignment="1">
      <alignment horizontal="left"/>
    </xf>
    <xf numFmtId="0" fontId="53" fillId="0" borderId="28" xfId="0" applyFont="1" applyBorder="1" applyAlignment="1">
      <alignment horizontal="left"/>
    </xf>
    <xf numFmtId="0" fontId="53" fillId="0" borderId="33" xfId="0" applyFont="1" applyBorder="1" applyAlignment="1">
      <alignment horizontal="center" vertical="center"/>
    </xf>
    <xf numFmtId="0" fontId="53" fillId="0" borderId="33" xfId="0" applyFont="1" applyBorder="1" applyAlignment="1">
      <alignment vertical="center"/>
    </xf>
    <xf numFmtId="0" fontId="53" fillId="0" borderId="40" xfId="0" applyFont="1" applyBorder="1" applyAlignment="1">
      <alignment horizontal="left" vertical="center"/>
    </xf>
    <xf numFmtId="0" fontId="53" fillId="0" borderId="7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4" fillId="0" borderId="18" xfId="0" applyFont="1" applyBorder="1" applyAlignment="1">
      <alignment horizontal="left" vertical="center"/>
    </xf>
    <xf numFmtId="43" fontId="28" fillId="0" borderId="0" xfId="1" applyFont="1" applyBorder="1"/>
    <xf numFmtId="0" fontId="59" fillId="0" borderId="0" xfId="0" applyFont="1"/>
    <xf numFmtId="0" fontId="60" fillId="0" borderId="0" xfId="0" applyFont="1" applyAlignment="1">
      <alignment vertical="center"/>
    </xf>
    <xf numFmtId="0" fontId="60" fillId="0" borderId="0" xfId="0" applyFont="1" applyAlignment="1">
      <alignment horizontal="center" vertical="center"/>
    </xf>
    <xf numFmtId="0" fontId="59" fillId="0" borderId="0" xfId="0" applyFont="1" applyAlignment="1">
      <alignment vertical="center"/>
    </xf>
    <xf numFmtId="43" fontId="59" fillId="0" borderId="0" xfId="0" applyNumberFormat="1" applyFont="1"/>
    <xf numFmtId="0" fontId="59" fillId="0" borderId="34" xfId="0" applyFont="1" applyBorder="1"/>
    <xf numFmtId="0" fontId="60" fillId="0" borderId="0" xfId="0" applyFont="1"/>
    <xf numFmtId="0" fontId="61" fillId="0" borderId="0" xfId="0" applyFont="1"/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0" xfId="0" applyFont="1"/>
    <xf numFmtId="0" fontId="63" fillId="0" borderId="0" xfId="0" applyFont="1" applyAlignment="1">
      <alignment horizontal="left" vertical="center"/>
    </xf>
    <xf numFmtId="43" fontId="63" fillId="0" borderId="0" xfId="0" applyNumberFormat="1" applyFont="1"/>
    <xf numFmtId="0" fontId="64" fillId="0" borderId="0" xfId="0" applyFont="1"/>
    <xf numFmtId="43" fontId="64" fillId="0" borderId="0" xfId="1" applyFont="1" applyAlignment="1">
      <alignment horizontal="center" vertical="center"/>
    </xf>
    <xf numFmtId="0" fontId="65" fillId="0" borderId="0" xfId="0" applyFont="1" applyAlignment="1">
      <alignment vertical="center"/>
    </xf>
    <xf numFmtId="0" fontId="66" fillId="10" borderId="23" xfId="0" applyFont="1" applyFill="1" applyBorder="1" applyAlignment="1">
      <alignment horizontal="center"/>
    </xf>
    <xf numFmtId="43" fontId="66" fillId="0" borderId="0" xfId="0" applyNumberFormat="1" applyFont="1"/>
    <xf numFmtId="0" fontId="66" fillId="0" borderId="0" xfId="0" applyFont="1"/>
    <xf numFmtId="43" fontId="67" fillId="2" borderId="1" xfId="1" applyFont="1" applyFill="1" applyBorder="1" applyAlignment="1">
      <alignment horizontal="center" vertical="center"/>
    </xf>
    <xf numFmtId="43" fontId="67" fillId="2" borderId="25" xfId="1" applyFont="1" applyFill="1" applyBorder="1" applyAlignment="1">
      <alignment horizontal="center" vertical="center"/>
    </xf>
    <xf numFmtId="43" fontId="67" fillId="2" borderId="26" xfId="1" applyFont="1" applyFill="1" applyBorder="1" applyAlignment="1">
      <alignment horizontal="center" vertical="center"/>
    </xf>
    <xf numFmtId="43" fontId="67" fillId="2" borderId="2" xfId="1" applyFont="1" applyFill="1" applyBorder="1" applyAlignment="1">
      <alignment horizontal="center" vertical="center"/>
    </xf>
    <xf numFmtId="43" fontId="67" fillId="2" borderId="10" xfId="1" applyFont="1" applyFill="1" applyBorder="1" applyAlignment="1">
      <alignment horizontal="center" vertical="center"/>
    </xf>
    <xf numFmtId="43" fontId="67" fillId="2" borderId="21" xfId="1" applyFont="1" applyFill="1" applyBorder="1" applyAlignment="1">
      <alignment horizontal="center" vertical="center"/>
    </xf>
    <xf numFmtId="0" fontId="64" fillId="0" borderId="0" xfId="0" applyFont="1" applyAlignment="1">
      <alignment horizontal="left" vertical="center"/>
    </xf>
    <xf numFmtId="43" fontId="64" fillId="0" borderId="0" xfId="0" applyNumberFormat="1" applyFont="1"/>
    <xf numFmtId="43" fontId="65" fillId="0" borderId="0" xfId="0" applyNumberFormat="1" applyFont="1" applyAlignment="1">
      <alignment horizontal="left"/>
    </xf>
    <xf numFmtId="43" fontId="65" fillId="2" borderId="32" xfId="0" applyNumberFormat="1" applyFont="1" applyFill="1" applyBorder="1"/>
    <xf numFmtId="0" fontId="65" fillId="0" borderId="0" xfId="0" applyFont="1"/>
    <xf numFmtId="0" fontId="74" fillId="5" borderId="31" xfId="0" applyFont="1" applyFill="1" applyBorder="1" applyAlignment="1">
      <alignment horizontal="center"/>
    </xf>
    <xf numFmtId="43" fontId="74" fillId="5" borderId="30" xfId="1" applyFont="1" applyFill="1" applyBorder="1"/>
    <xf numFmtId="43" fontId="74" fillId="5" borderId="14" xfId="1" applyFont="1" applyFill="1" applyBorder="1"/>
    <xf numFmtId="43" fontId="74" fillId="0" borderId="0" xfId="0" applyNumberFormat="1" applyFont="1"/>
    <xf numFmtId="0" fontId="74" fillId="0" borderId="0" xfId="0" applyFont="1"/>
    <xf numFmtId="43" fontId="76" fillId="0" borderId="7" xfId="1" applyFont="1" applyBorder="1" applyAlignment="1">
      <alignment horizontal="center"/>
    </xf>
    <xf numFmtId="43" fontId="76" fillId="0" borderId="3" xfId="1" applyFont="1" applyBorder="1" applyAlignment="1">
      <alignment horizontal="center"/>
    </xf>
    <xf numFmtId="43" fontId="76" fillId="0" borderId="16" xfId="1" applyFont="1" applyBorder="1"/>
    <xf numFmtId="43" fontId="76" fillId="0" borderId="3" xfId="1" applyFont="1" applyFill="1" applyBorder="1" applyAlignment="1">
      <alignment horizontal="center"/>
    </xf>
    <xf numFmtId="43" fontId="76" fillId="0" borderId="3" xfId="1" applyFont="1" applyBorder="1"/>
    <xf numFmtId="43" fontId="76" fillId="0" borderId="4" xfId="1" applyFont="1" applyBorder="1" applyAlignment="1">
      <alignment horizontal="center"/>
    </xf>
    <xf numFmtId="43" fontId="76" fillId="0" borderId="4" xfId="1" applyFont="1" applyBorder="1"/>
    <xf numFmtId="43" fontId="74" fillId="7" borderId="20" xfId="1" applyFont="1" applyFill="1" applyBorder="1" applyAlignment="1">
      <alignment horizontal="center"/>
    </xf>
    <xf numFmtId="43" fontId="76" fillId="0" borderId="28" xfId="1" applyFont="1" applyBorder="1" applyAlignment="1">
      <alignment horizontal="center"/>
    </xf>
    <xf numFmtId="43" fontId="75" fillId="0" borderId="33" xfId="1" applyFont="1" applyBorder="1" applyAlignment="1"/>
    <xf numFmtId="43" fontId="75" fillId="0" borderId="7" xfId="1" applyFont="1" applyBorder="1" applyAlignment="1"/>
    <xf numFmtId="43" fontId="76" fillId="0" borderId="27" xfId="1" applyFont="1" applyBorder="1" applyAlignment="1"/>
    <xf numFmtId="43" fontId="74" fillId="9" borderId="20" xfId="1" applyFont="1" applyFill="1" applyBorder="1" applyAlignment="1">
      <alignment horizontal="center"/>
    </xf>
    <xf numFmtId="43" fontId="76" fillId="0" borderId="7" xfId="1" applyFont="1" applyFill="1" applyBorder="1" applyAlignment="1">
      <alignment horizontal="center"/>
    </xf>
    <xf numFmtId="43" fontId="76" fillId="0" borderId="7" xfId="1" applyFont="1" applyBorder="1"/>
    <xf numFmtId="43" fontId="76" fillId="0" borderId="0" xfId="1" applyFont="1"/>
    <xf numFmtId="43" fontId="75" fillId="9" borderId="3" xfId="1" applyFont="1" applyFill="1" applyBorder="1" applyAlignment="1">
      <alignment horizontal="center"/>
    </xf>
    <xf numFmtId="43" fontId="76" fillId="0" borderId="3" xfId="1" applyFont="1" applyFill="1" applyBorder="1"/>
    <xf numFmtId="43" fontId="76" fillId="0" borderId="17" xfId="1" applyFont="1" applyBorder="1"/>
    <xf numFmtId="43" fontId="76" fillId="0" borderId="27" xfId="1" applyFont="1" applyBorder="1"/>
    <xf numFmtId="43" fontId="74" fillId="10" borderId="22" xfId="1" applyFont="1" applyFill="1" applyBorder="1"/>
    <xf numFmtId="43" fontId="74" fillId="10" borderId="20" xfId="1" applyFont="1" applyFill="1" applyBorder="1"/>
    <xf numFmtId="43" fontId="74" fillId="8" borderId="20" xfId="1" applyFont="1" applyFill="1" applyBorder="1" applyAlignment="1">
      <alignment horizontal="center"/>
    </xf>
    <xf numFmtId="0" fontId="74" fillId="7" borderId="24" xfId="0" applyFont="1" applyFill="1" applyBorder="1" applyAlignment="1">
      <alignment horizontal="center"/>
    </xf>
    <xf numFmtId="0" fontId="74" fillId="9" borderId="24" xfId="0" applyFont="1" applyFill="1" applyBorder="1" applyAlignment="1">
      <alignment horizontal="center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vertical="top"/>
    </xf>
    <xf numFmtId="43" fontId="64" fillId="0" borderId="0" xfId="1" applyFont="1" applyBorder="1" applyAlignment="1">
      <alignment vertical="top"/>
    </xf>
    <xf numFmtId="43" fontId="64" fillId="0" borderId="0" xfId="1" applyFont="1" applyAlignment="1">
      <alignment horizontal="center" vertical="top"/>
    </xf>
    <xf numFmtId="0" fontId="64" fillId="0" borderId="0" xfId="0" applyFont="1" applyAlignment="1">
      <alignment horizontal="center" vertical="top"/>
    </xf>
    <xf numFmtId="0" fontId="68" fillId="0" borderId="0" xfId="0" applyFont="1" applyAlignment="1">
      <alignment horizontal="left" vertical="top"/>
    </xf>
    <xf numFmtId="43" fontId="64" fillId="0" borderId="0" xfId="1" applyFont="1" applyBorder="1" applyAlignment="1">
      <alignment horizontal="center" vertical="top"/>
    </xf>
    <xf numFmtId="0" fontId="59" fillId="0" borderId="0" xfId="0" applyFont="1" applyAlignment="1">
      <alignment vertical="top"/>
    </xf>
    <xf numFmtId="43" fontId="64" fillId="0" borderId="0" xfId="1" applyFont="1" applyAlignment="1">
      <alignment vertical="top"/>
    </xf>
    <xf numFmtId="43" fontId="64" fillId="0" borderId="10" xfId="1" applyFont="1" applyBorder="1" applyAlignment="1">
      <alignment vertical="top"/>
    </xf>
    <xf numFmtId="43" fontId="64" fillId="0" borderId="34" xfId="0" applyNumberFormat="1" applyFont="1" applyBorder="1" applyAlignment="1">
      <alignment vertical="top"/>
    </xf>
    <xf numFmtId="43" fontId="64" fillId="0" borderId="0" xfId="0" applyNumberFormat="1" applyFont="1" applyAlignment="1">
      <alignment vertical="top"/>
    </xf>
    <xf numFmtId="0" fontId="72" fillId="0" borderId="34" xfId="0" applyFont="1" applyBorder="1" applyAlignment="1">
      <alignment vertical="top"/>
    </xf>
    <xf numFmtId="43" fontId="71" fillId="5" borderId="23" xfId="0" applyNumberFormat="1" applyFont="1" applyFill="1" applyBorder="1" applyAlignment="1">
      <alignment vertical="top"/>
    </xf>
    <xf numFmtId="43" fontId="65" fillId="0" borderId="34" xfId="0" applyNumberFormat="1" applyFont="1" applyBorder="1" applyAlignment="1">
      <alignment vertical="top"/>
    </xf>
    <xf numFmtId="43" fontId="65" fillId="2" borderId="32" xfId="0" applyNumberFormat="1" applyFont="1" applyFill="1" applyBorder="1" applyAlignment="1">
      <alignment vertical="top"/>
    </xf>
    <xf numFmtId="43" fontId="60" fillId="0" borderId="0" xfId="1" applyFont="1" applyBorder="1" applyAlignment="1">
      <alignment vertical="top"/>
    </xf>
    <xf numFmtId="43" fontId="60" fillId="0" borderId="0" xfId="1" applyFont="1" applyAlignment="1">
      <alignment vertical="top"/>
    </xf>
    <xf numFmtId="43" fontId="69" fillId="0" borderId="0" xfId="1" applyFont="1" applyFill="1" applyBorder="1" applyAlignment="1">
      <alignment horizontal="center" vertical="top"/>
    </xf>
    <xf numFmtId="43" fontId="59" fillId="0" borderId="0" xfId="0" applyNumberFormat="1" applyFont="1" applyAlignment="1">
      <alignment vertical="top"/>
    </xf>
    <xf numFmtId="43" fontId="73" fillId="0" borderId="0" xfId="0" applyNumberFormat="1" applyFont="1" applyAlignment="1">
      <alignment horizontal="center" vertical="top"/>
    </xf>
    <xf numFmtId="43" fontId="73" fillId="0" borderId="0" xfId="1" applyFont="1" applyFill="1" applyBorder="1" applyAlignment="1">
      <alignment horizontal="center" vertical="top"/>
    </xf>
    <xf numFmtId="43" fontId="65" fillId="0" borderId="0" xfId="1" applyFont="1" applyAlignment="1">
      <alignment vertical="top"/>
    </xf>
    <xf numFmtId="43" fontId="64" fillId="0" borderId="0" xfId="1" applyFont="1" applyFill="1" applyBorder="1" applyAlignment="1">
      <alignment vertical="top"/>
    </xf>
    <xf numFmtId="43" fontId="65" fillId="2" borderId="0" xfId="1" applyFont="1" applyFill="1" applyBorder="1" applyAlignment="1">
      <alignment vertical="top"/>
    </xf>
    <xf numFmtId="43" fontId="64" fillId="0" borderId="25" xfId="1" applyFont="1" applyBorder="1" applyAlignment="1">
      <alignment vertical="top"/>
    </xf>
    <xf numFmtId="43" fontId="65" fillId="0" borderId="25" xfId="1" applyFont="1" applyFill="1" applyBorder="1" applyAlignment="1">
      <alignment vertical="top"/>
    </xf>
    <xf numFmtId="43" fontId="71" fillId="5" borderId="10" xfId="1" applyFont="1" applyFill="1" applyBorder="1" applyAlignment="1">
      <alignment vertical="top"/>
    </xf>
    <xf numFmtId="43" fontId="60" fillId="0" borderId="0" xfId="0" applyNumberFormat="1" applyFont="1"/>
    <xf numFmtId="43" fontId="65" fillId="7" borderId="23" xfId="1" applyFont="1" applyFill="1" applyBorder="1" applyAlignment="1">
      <alignment vertical="top"/>
    </xf>
    <xf numFmtId="43" fontId="64" fillId="7" borderId="23" xfId="1" applyFont="1" applyFill="1" applyBorder="1" applyAlignment="1">
      <alignment vertical="top"/>
    </xf>
    <xf numFmtId="43" fontId="59" fillId="7" borderId="23" xfId="0" applyNumberFormat="1" applyFont="1" applyFill="1" applyBorder="1" applyAlignment="1">
      <alignment vertical="top"/>
    </xf>
    <xf numFmtId="0" fontId="79" fillId="2" borderId="8" xfId="0" applyFont="1" applyFill="1" applyBorder="1" applyAlignment="1">
      <alignment horizontal="center" vertical="center"/>
    </xf>
    <xf numFmtId="0" fontId="81" fillId="0" borderId="3" xfId="0" applyFont="1" applyBorder="1" applyAlignment="1">
      <alignment horizontal="left" vertical="center"/>
    </xf>
    <xf numFmtId="43" fontId="74" fillId="7" borderId="30" xfId="1" applyFont="1" applyFill="1" applyBorder="1"/>
    <xf numFmtId="43" fontId="61" fillId="0" borderId="0" xfId="1" applyFont="1"/>
    <xf numFmtId="43" fontId="59" fillId="0" borderId="0" xfId="1" applyFont="1"/>
    <xf numFmtId="43" fontId="74" fillId="2" borderId="30" xfId="1" applyFont="1" applyFill="1" applyBorder="1"/>
    <xf numFmtId="43" fontId="34" fillId="0" borderId="13" xfId="1" applyFont="1" applyBorder="1" applyAlignment="1"/>
    <xf numFmtId="43" fontId="34" fillId="0" borderId="8" xfId="1" applyFont="1" applyBorder="1" applyAlignment="1"/>
    <xf numFmtId="43" fontId="75" fillId="0" borderId="28" xfId="1" applyFont="1" applyBorder="1" applyAlignment="1"/>
    <xf numFmtId="0" fontId="53" fillId="0" borderId="16" xfId="0" applyFont="1" applyBorder="1" applyAlignment="1">
      <alignment horizontal="left" vertical="center"/>
    </xf>
    <xf numFmtId="43" fontId="65" fillId="0" borderId="0" xfId="1" applyFont="1" applyBorder="1" applyAlignment="1">
      <alignment horizontal="center" vertical="top"/>
    </xf>
    <xf numFmtId="43" fontId="64" fillId="0" borderId="42" xfId="1" applyFont="1" applyBorder="1" applyAlignment="1">
      <alignment horizontal="center" vertical="center"/>
    </xf>
    <xf numFmtId="43" fontId="65" fillId="0" borderId="10" xfId="1" applyFont="1" applyFill="1" applyBorder="1" applyAlignment="1">
      <alignment vertical="top"/>
    </xf>
    <xf numFmtId="0" fontId="53" fillId="0" borderId="27" xfId="0" applyFont="1" applyBorder="1" applyAlignment="1">
      <alignment horizontal="left"/>
    </xf>
    <xf numFmtId="0" fontId="53" fillId="0" borderId="29" xfId="0" applyFont="1" applyBorder="1" applyAlignment="1">
      <alignment horizontal="left"/>
    </xf>
    <xf numFmtId="43" fontId="76" fillId="0" borderId="7" xfId="1" applyFont="1" applyBorder="1" applyAlignment="1"/>
    <xf numFmtId="43" fontId="75" fillId="0" borderId="3" xfId="1" applyFont="1" applyFill="1" applyBorder="1" applyAlignment="1">
      <alignment horizontal="left"/>
    </xf>
    <xf numFmtId="43" fontId="34" fillId="0" borderId="16" xfId="1" applyFont="1" applyFill="1" applyBorder="1" applyAlignment="1"/>
    <xf numFmtId="43" fontId="8" fillId="0" borderId="0" xfId="0" applyNumberFormat="1" applyFont="1" applyAlignment="1">
      <alignment horizontal="left"/>
    </xf>
    <xf numFmtId="0" fontId="53" fillId="0" borderId="9" xfId="0" applyFont="1" applyBorder="1" applyAlignment="1">
      <alignment horizontal="center"/>
    </xf>
    <xf numFmtId="0" fontId="56" fillId="0" borderId="9" xfId="0" applyFont="1" applyBorder="1" applyAlignment="1">
      <alignment horizontal="left" vertical="center"/>
    </xf>
    <xf numFmtId="0" fontId="53" fillId="0" borderId="39" xfId="0" applyFont="1" applyBorder="1" applyAlignment="1">
      <alignment horizontal="left"/>
    </xf>
    <xf numFmtId="0" fontId="53" fillId="0" borderId="43" xfId="0" applyFont="1" applyBorder="1" applyAlignment="1">
      <alignment horizontal="left"/>
    </xf>
    <xf numFmtId="43" fontId="76" fillId="0" borderId="9" xfId="1" applyFont="1" applyBorder="1" applyAlignment="1">
      <alignment horizontal="center"/>
    </xf>
    <xf numFmtId="43" fontId="76" fillId="0" borderId="9" xfId="1" applyFont="1" applyBorder="1"/>
    <xf numFmtId="43" fontId="35" fillId="0" borderId="8" xfId="1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43" fontId="17" fillId="0" borderId="0" xfId="1" applyFont="1" applyFill="1"/>
    <xf numFmtId="43" fontId="35" fillId="0" borderId="3" xfId="1" applyFont="1" applyFill="1" applyBorder="1" applyAlignment="1">
      <alignment horizontal="center"/>
    </xf>
    <xf numFmtId="0" fontId="55" fillId="0" borderId="7" xfId="0" applyFont="1" applyBorder="1" applyAlignment="1">
      <alignment horizontal="center"/>
    </xf>
    <xf numFmtId="0" fontId="84" fillId="0" borderId="0" xfId="0" applyFont="1" applyAlignment="1">
      <alignment horizontal="left" vertical="center"/>
    </xf>
    <xf numFmtId="43" fontId="64" fillId="0" borderId="10" xfId="1" applyFont="1" applyBorder="1" applyAlignment="1">
      <alignment horizontal="center" vertical="top"/>
    </xf>
    <xf numFmtId="43" fontId="59" fillId="0" borderId="10" xfId="0" applyNumberFormat="1" applyFont="1" applyBorder="1" applyAlignment="1">
      <alignment vertical="top"/>
    </xf>
    <xf numFmtId="43" fontId="75" fillId="3" borderId="3" xfId="1" applyFont="1" applyFill="1" applyBorder="1" applyAlignment="1">
      <alignment horizontal="center"/>
    </xf>
    <xf numFmtId="43" fontId="7" fillId="0" borderId="3" xfId="1" applyFont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187" fontId="7" fillId="0" borderId="9" xfId="1" applyNumberFormat="1" applyFont="1" applyFill="1" applyBorder="1" applyAlignment="1">
      <alignment horizontal="center"/>
    </xf>
    <xf numFmtId="43" fontId="35" fillId="3" borderId="16" xfId="1" applyFont="1" applyFill="1" applyBorder="1" applyAlignment="1">
      <alignment horizontal="center"/>
    </xf>
    <xf numFmtId="43" fontId="76" fillId="3" borderId="17" xfId="1" applyFont="1" applyFill="1" applyBorder="1"/>
    <xf numFmtId="43" fontId="76" fillId="0" borderId="3" xfId="1" applyFont="1" applyFill="1" applyBorder="1" applyAlignment="1">
      <alignment horizontal="left"/>
    </xf>
    <xf numFmtId="0" fontId="54" fillId="0" borderId="7" xfId="0" applyFont="1" applyBorder="1" applyAlignment="1">
      <alignment horizontal="left"/>
    </xf>
    <xf numFmtId="0" fontId="67" fillId="2" borderId="25" xfId="0" applyFont="1" applyFill="1" applyBorder="1" applyAlignment="1">
      <alignment horizontal="center" vertical="center"/>
    </xf>
    <xf numFmtId="0" fontId="67" fillId="2" borderId="10" xfId="0" applyFont="1" applyFill="1" applyBorder="1" applyAlignment="1">
      <alignment horizontal="center" vertical="center"/>
    </xf>
    <xf numFmtId="43" fontId="63" fillId="0" borderId="0" xfId="0" applyNumberFormat="1" applyFont="1" applyAlignment="1">
      <alignment vertical="center"/>
    </xf>
    <xf numFmtId="0" fontId="37" fillId="0" borderId="0" xfId="0" applyFont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/>
    </xf>
    <xf numFmtId="0" fontId="33" fillId="0" borderId="8" xfId="0" applyFont="1" applyBorder="1" applyAlignment="1">
      <alignment horizontal="center" vertical="center"/>
    </xf>
    <xf numFmtId="43" fontId="34" fillId="0" borderId="4" xfId="1" applyFont="1" applyBorder="1" applyAlignment="1">
      <alignment horizontal="center" vertical="center"/>
    </xf>
    <xf numFmtId="43" fontId="34" fillId="0" borderId="7" xfId="1" applyFont="1" applyBorder="1" applyAlignment="1">
      <alignment horizontal="center" vertical="center"/>
    </xf>
    <xf numFmtId="43" fontId="33" fillId="0" borderId="8" xfId="1" applyFont="1" applyBorder="1" applyAlignment="1">
      <alignment horizontal="center" vertical="center"/>
    </xf>
    <xf numFmtId="43" fontId="33" fillId="0" borderId="6" xfId="1" applyFont="1" applyBorder="1" applyAlignment="1">
      <alignment horizontal="center" vertical="center"/>
    </xf>
    <xf numFmtId="43" fontId="33" fillId="0" borderId="19" xfId="1" applyFont="1" applyBorder="1" applyAlignment="1">
      <alignment horizontal="center" vertical="center"/>
    </xf>
    <xf numFmtId="43" fontId="33" fillId="0" borderId="13" xfId="1" applyFont="1" applyBorder="1" applyAlignment="1">
      <alignment horizontal="center" vertical="center"/>
    </xf>
    <xf numFmtId="43" fontId="35" fillId="0" borderId="38" xfId="1" applyFont="1" applyFill="1" applyBorder="1" applyAlignment="1">
      <alignment horizontal="center"/>
    </xf>
    <xf numFmtId="43" fontId="35" fillId="0" borderId="41" xfId="1" applyFont="1" applyFill="1" applyBorder="1" applyAlignment="1">
      <alignment horizontal="center"/>
    </xf>
    <xf numFmtId="0" fontId="33" fillId="2" borderId="6" xfId="0" applyFont="1" applyFill="1" applyBorder="1" applyAlignment="1">
      <alignment horizontal="center" vertical="center"/>
    </xf>
    <xf numFmtId="0" fontId="33" fillId="2" borderId="19" xfId="0" applyFont="1" applyFill="1" applyBorder="1" applyAlignment="1">
      <alignment horizontal="center" vertical="center"/>
    </xf>
    <xf numFmtId="0" fontId="33" fillId="2" borderId="13" xfId="0" applyFont="1" applyFill="1" applyBorder="1" applyAlignment="1">
      <alignment horizontal="center" vertical="center"/>
    </xf>
    <xf numFmtId="4" fontId="34" fillId="0" borderId="6" xfId="1" applyNumberFormat="1" applyFont="1" applyBorder="1" applyAlignment="1">
      <alignment horizontal="center"/>
    </xf>
    <xf numFmtId="4" fontId="34" fillId="0" borderId="19" xfId="1" applyNumberFormat="1" applyFont="1" applyBorder="1" applyAlignment="1">
      <alignment horizontal="center"/>
    </xf>
    <xf numFmtId="4" fontId="34" fillId="0" borderId="13" xfId="1" applyNumberFormat="1" applyFont="1" applyBorder="1" applyAlignment="1">
      <alignment horizontal="center"/>
    </xf>
    <xf numFmtId="43" fontId="31" fillId="0" borderId="3" xfId="1" quotePrefix="1" applyFont="1" applyBorder="1" applyAlignment="1">
      <alignment horizontal="left" vertical="center"/>
    </xf>
    <xf numFmtId="43" fontId="34" fillId="0" borderId="5" xfId="1" applyFont="1" applyBorder="1" applyAlignment="1">
      <alignment horizontal="center" vertical="center"/>
    </xf>
    <xf numFmtId="43" fontId="35" fillId="0" borderId="4" xfId="1" applyFont="1" applyBorder="1" applyAlignment="1">
      <alignment horizontal="center" vertical="center"/>
    </xf>
    <xf numFmtId="43" fontId="35" fillId="0" borderId="7" xfId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43" fontId="34" fillId="0" borderId="3" xfId="1" applyFont="1" applyBorder="1" applyAlignment="1">
      <alignment horizontal="center" vertical="center"/>
    </xf>
    <xf numFmtId="43" fontId="34" fillId="0" borderId="3" xfId="1" quotePrefix="1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43" fontId="34" fillId="0" borderId="3" xfId="1" applyFont="1" applyBorder="1" applyAlignment="1">
      <alignment horizontal="left" vertical="center"/>
    </xf>
    <xf numFmtId="0" fontId="34" fillId="0" borderId="3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43" fontId="34" fillId="0" borderId="1" xfId="1" applyFont="1" applyBorder="1" applyAlignment="1">
      <alignment horizontal="center" vertical="center"/>
    </xf>
    <xf numFmtId="43" fontId="34" fillId="0" borderId="2" xfId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/>
    </xf>
    <xf numFmtId="49" fontId="9" fillId="0" borderId="0" xfId="0" applyNumberFormat="1" applyFont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43" fontId="11" fillId="0" borderId="8" xfId="1" applyFont="1" applyBorder="1" applyAlignment="1">
      <alignment horizontal="center" vertical="center"/>
    </xf>
    <xf numFmtId="43" fontId="11" fillId="0" borderId="6" xfId="1" applyFont="1" applyBorder="1" applyAlignment="1">
      <alignment horizontal="center" vertical="center"/>
    </xf>
    <xf numFmtId="43" fontId="11" fillId="0" borderId="19" xfId="1" applyFont="1" applyBorder="1" applyAlignment="1">
      <alignment horizontal="center" vertical="center"/>
    </xf>
    <xf numFmtId="43" fontId="11" fillId="0" borderId="13" xfId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0" fillId="0" borderId="1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43" fontId="65" fillId="7" borderId="23" xfId="1" applyFont="1" applyFill="1" applyBorder="1" applyAlignment="1">
      <alignment horizontal="center" vertical="top"/>
    </xf>
    <xf numFmtId="0" fontId="70" fillId="0" borderId="0" xfId="0" applyFont="1" applyAlignment="1">
      <alignment horizontal="center" vertical="center"/>
    </xf>
    <xf numFmtId="0" fontId="83" fillId="0" borderId="34" xfId="0" applyFont="1" applyBorder="1" applyAlignment="1">
      <alignment horizontal="center"/>
    </xf>
    <xf numFmtId="0" fontId="83" fillId="0" borderId="0" xfId="0" applyFont="1" applyAlignment="1">
      <alignment horizontal="center"/>
    </xf>
    <xf numFmtId="43" fontId="69" fillId="0" borderId="0" xfId="1" applyFont="1" applyFill="1" applyBorder="1" applyAlignment="1">
      <alignment horizontal="center" vertical="top"/>
    </xf>
    <xf numFmtId="0" fontId="69" fillId="0" borderId="0" xfId="0" applyFont="1" applyAlignment="1">
      <alignment horizontal="center" vertical="center"/>
    </xf>
    <xf numFmtId="43" fontId="73" fillId="0" borderId="0" xfId="0" applyNumberFormat="1" applyFont="1" applyAlignment="1">
      <alignment horizontal="center" vertical="top"/>
    </xf>
    <xf numFmtId="43" fontId="73" fillId="0" borderId="0" xfId="1" applyFont="1" applyFill="1" applyBorder="1" applyAlignment="1">
      <alignment horizontal="center" vertical="top"/>
    </xf>
    <xf numFmtId="43" fontId="65" fillId="0" borderId="10" xfId="1" applyFont="1" applyBorder="1" applyAlignment="1">
      <alignment horizontal="center" vertical="top"/>
    </xf>
    <xf numFmtId="43" fontId="64" fillId="0" borderId="0" xfId="1" applyFont="1" applyAlignment="1">
      <alignment horizontal="center" vertical="top"/>
    </xf>
    <xf numFmtId="43" fontId="64" fillId="0" borderId="10" xfId="1" applyFont="1" applyBorder="1" applyAlignment="1">
      <alignment horizontal="center" vertical="top"/>
    </xf>
    <xf numFmtId="43" fontId="64" fillId="0" borderId="0" xfId="1" applyFont="1" applyBorder="1" applyAlignment="1">
      <alignment horizontal="center" vertical="top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67" fillId="2" borderId="1" xfId="0" applyFont="1" applyFill="1" applyBorder="1" applyAlignment="1">
      <alignment horizontal="center" vertical="center"/>
    </xf>
    <xf numFmtId="0" fontId="67" fillId="2" borderId="2" xfId="0" applyFont="1" applyFill="1" applyBorder="1" applyAlignment="1">
      <alignment horizontal="center" vertical="center"/>
    </xf>
    <xf numFmtId="0" fontId="67" fillId="2" borderId="25" xfId="0" applyFont="1" applyFill="1" applyBorder="1" applyAlignment="1">
      <alignment horizontal="center" vertical="center"/>
    </xf>
    <xf numFmtId="0" fontId="67" fillId="2" borderId="10" xfId="0" applyFont="1" applyFill="1" applyBorder="1" applyAlignment="1">
      <alignment horizontal="center" vertical="center"/>
    </xf>
    <xf numFmtId="0" fontId="67" fillId="2" borderId="6" xfId="0" applyFont="1" applyFill="1" applyBorder="1" applyAlignment="1">
      <alignment horizontal="center" vertical="center"/>
    </xf>
    <xf numFmtId="0" fontId="67" fillId="2" borderId="19" xfId="0" applyFont="1" applyFill="1" applyBorder="1" applyAlignment="1">
      <alignment horizontal="center" vertical="center"/>
    </xf>
    <xf numFmtId="0" fontId="67" fillId="2" borderId="13" xfId="0" applyFont="1" applyFill="1" applyBorder="1" applyAlignment="1">
      <alignment horizontal="center" vertical="center"/>
    </xf>
    <xf numFmtId="0" fontId="74" fillId="7" borderId="20" xfId="0" applyFont="1" applyFill="1" applyBorder="1" applyAlignment="1">
      <alignment horizontal="center"/>
    </xf>
    <xf numFmtId="0" fontId="74" fillId="7" borderId="22" xfId="0" applyFont="1" applyFill="1" applyBorder="1" applyAlignment="1">
      <alignment horizontal="center"/>
    </xf>
    <xf numFmtId="0" fontId="42" fillId="8" borderId="20" xfId="0" applyFont="1" applyFill="1" applyBorder="1" applyAlignment="1">
      <alignment horizontal="center"/>
    </xf>
    <xf numFmtId="0" fontId="42" fillId="8" borderId="22" xfId="0" applyFont="1" applyFill="1" applyBorder="1" applyAlignment="1">
      <alignment horizontal="center"/>
    </xf>
    <xf numFmtId="43" fontId="75" fillId="0" borderId="27" xfId="1" applyFont="1" applyBorder="1" applyAlignment="1">
      <alignment horizontal="center"/>
    </xf>
    <xf numFmtId="43" fontId="75" fillId="0" borderId="28" xfId="1" applyFont="1" applyBorder="1" applyAlignment="1">
      <alignment horizontal="center"/>
    </xf>
    <xf numFmtId="43" fontId="75" fillId="0" borderId="29" xfId="1" applyFont="1" applyBorder="1" applyAlignment="1">
      <alignment horizontal="center"/>
    </xf>
    <xf numFmtId="0" fontId="74" fillId="9" borderId="20" xfId="0" applyFont="1" applyFill="1" applyBorder="1" applyAlignment="1">
      <alignment horizontal="center"/>
    </xf>
    <xf numFmtId="0" fontId="74" fillId="9" borderId="22" xfId="0" applyFont="1" applyFill="1" applyBorder="1" applyAlignment="1">
      <alignment horizontal="center"/>
    </xf>
    <xf numFmtId="0" fontId="66" fillId="10" borderId="22" xfId="0" applyFont="1" applyFill="1" applyBorder="1" applyAlignment="1">
      <alignment horizontal="center"/>
    </xf>
    <xf numFmtId="0" fontId="66" fillId="10" borderId="23" xfId="0" applyFont="1" applyFill="1" applyBorder="1" applyAlignment="1">
      <alignment horizontal="center"/>
    </xf>
    <xf numFmtId="43" fontId="20" fillId="0" borderId="0" xfId="0" applyNumberFormat="1" applyFont="1" applyAlignment="1">
      <alignment horizontal="center"/>
    </xf>
    <xf numFmtId="0" fontId="74" fillId="5" borderId="30" xfId="0" applyFont="1" applyFill="1" applyBorder="1" applyAlignment="1">
      <alignment horizontal="center"/>
    </xf>
    <xf numFmtId="0" fontId="74" fillId="5" borderId="31" xfId="0" applyFont="1" applyFill="1" applyBorder="1" applyAlignment="1">
      <alignment horizontal="center"/>
    </xf>
    <xf numFmtId="43" fontId="26" fillId="0" borderId="0" xfId="1" applyFont="1" applyBorder="1" applyAlignment="1">
      <alignment horizontal="center"/>
    </xf>
    <xf numFmtId="43" fontId="26" fillId="0" borderId="10" xfId="1" applyFont="1" applyBorder="1" applyAlignment="1">
      <alignment horizontal="center"/>
    </xf>
    <xf numFmtId="43" fontId="43" fillId="0" borderId="0" xfId="0" applyNumberFormat="1" applyFont="1" applyAlignment="1">
      <alignment horizontal="center"/>
    </xf>
    <xf numFmtId="43" fontId="43" fillId="0" borderId="0" xfId="1" applyFont="1" applyBorder="1" applyAlignment="1">
      <alignment horizontal="center"/>
    </xf>
    <xf numFmtId="43" fontId="48" fillId="3" borderId="0" xfId="0" applyNumberFormat="1" applyFont="1" applyFill="1" applyAlignment="1">
      <alignment horizontal="center"/>
    </xf>
    <xf numFmtId="43" fontId="49" fillId="11" borderId="0" xfId="0" applyNumberFormat="1" applyFont="1" applyFill="1" applyAlignment="1">
      <alignment horizontal="center"/>
    </xf>
    <xf numFmtId="0" fontId="23" fillId="2" borderId="25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CCFFFF"/>
      <color rgb="FFFFCCFF"/>
      <color rgb="FFFF99FF"/>
      <color rgb="FFFFCC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99FF"/>
  </sheetPr>
  <dimension ref="A1:AG47"/>
  <sheetViews>
    <sheetView topLeftCell="M1" zoomScale="66" zoomScaleNormal="66" workbookViewId="0">
      <pane ySplit="4" topLeftCell="A6" activePane="bottomLeft" state="frozen"/>
      <selection pane="bottomLeft" activeCell="W14" sqref="W14"/>
    </sheetView>
  </sheetViews>
  <sheetFormatPr defaultColWidth="9" defaultRowHeight="34.9" customHeight="1" x14ac:dyDescent="0.55000000000000004"/>
  <cols>
    <col min="1" max="1" width="3.5" style="99" bestFit="1" customWidth="1"/>
    <col min="2" max="2" width="8.375" style="159" customWidth="1"/>
    <col min="3" max="3" width="9.75" style="99" hidden="1" customWidth="1"/>
    <col min="4" max="4" width="11.875" style="99" hidden="1" customWidth="1"/>
    <col min="5" max="5" width="13.625" style="99" hidden="1" customWidth="1"/>
    <col min="6" max="6" width="30.75" style="99" hidden="1" customWidth="1"/>
    <col min="7" max="7" width="59.125" style="99" customWidth="1"/>
    <col min="8" max="8" width="33.875" style="99" hidden="1" customWidth="1"/>
    <col min="9" max="9" width="5.25" style="99" hidden="1" customWidth="1"/>
    <col min="10" max="10" width="5" style="99" hidden="1" customWidth="1"/>
    <col min="11" max="11" width="5.5" style="160" hidden="1" customWidth="1"/>
    <col min="12" max="12" width="8.625" style="160" hidden="1" customWidth="1"/>
    <col min="13" max="13" width="15.625" style="159" customWidth="1"/>
    <col min="14" max="14" width="33" style="161" bestFit="1" customWidth="1"/>
    <col min="15" max="15" width="10.625" style="159" hidden="1" customWidth="1"/>
    <col min="16" max="16" width="9.75" style="159" hidden="1" customWidth="1"/>
    <col min="17" max="17" width="9.75" style="162" hidden="1" customWidth="1"/>
    <col min="18" max="18" width="22.25" style="99" bestFit="1" customWidth="1"/>
    <col min="19" max="19" width="15.625" style="160" bestFit="1" customWidth="1"/>
    <col min="20" max="20" width="16.625" style="160" bestFit="1" customWidth="1"/>
    <col min="21" max="21" width="14.25" style="160" bestFit="1" customWidth="1"/>
    <col min="22" max="22" width="14.75" style="160" bestFit="1" customWidth="1"/>
    <col min="23" max="23" width="16.75" style="160" bestFit="1" customWidth="1"/>
    <col min="24" max="24" width="15.375" style="160" bestFit="1" customWidth="1"/>
    <col min="25" max="25" width="16.25" style="160" bestFit="1" customWidth="1"/>
    <col min="26" max="26" width="15.125" style="160" bestFit="1" customWidth="1"/>
    <col min="27" max="27" width="15.25" style="160" bestFit="1" customWidth="1"/>
    <col min="28" max="28" width="14" style="160" bestFit="1" customWidth="1"/>
    <col min="29" max="29" width="15.625" style="160" customWidth="1"/>
    <col min="30" max="30" width="14" style="160" customWidth="1"/>
    <col min="31" max="31" width="13.125" style="160" bestFit="1" customWidth="1"/>
    <col min="32" max="32" width="54.5" style="92" customWidth="1"/>
    <col min="33" max="16384" width="9" style="99"/>
  </cols>
  <sheetData>
    <row r="1" spans="1:32" ht="34.9" customHeight="1" x14ac:dyDescent="0.65">
      <c r="A1" s="377" t="s">
        <v>311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</row>
    <row r="2" spans="1:32" ht="17.45" customHeight="1" x14ac:dyDescent="0.55000000000000004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1"/>
      <c r="L2" s="100"/>
      <c r="M2" s="100"/>
      <c r="N2" s="102"/>
      <c r="O2" s="100"/>
      <c r="P2" s="100"/>
      <c r="Q2" s="101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93"/>
    </row>
    <row r="3" spans="1:32" s="165" customFormat="1" ht="34.9" customHeight="1" x14ac:dyDescent="0.55000000000000004">
      <c r="A3" s="378" t="s">
        <v>0</v>
      </c>
      <c r="B3" s="378" t="s">
        <v>52</v>
      </c>
      <c r="C3" s="378" t="s">
        <v>53</v>
      </c>
      <c r="D3" s="380" t="s">
        <v>54</v>
      </c>
      <c r="E3" s="380" t="s">
        <v>55</v>
      </c>
      <c r="F3" s="378" t="s">
        <v>1</v>
      </c>
      <c r="G3" s="378" t="s">
        <v>9</v>
      </c>
      <c r="H3" s="382" t="s">
        <v>58</v>
      </c>
      <c r="I3" s="384" t="s">
        <v>56</v>
      </c>
      <c r="J3" s="384"/>
      <c r="K3" s="384"/>
      <c r="L3" s="104" t="s">
        <v>57</v>
      </c>
      <c r="M3" s="385" t="s">
        <v>116</v>
      </c>
      <c r="N3" s="385" t="s">
        <v>117</v>
      </c>
      <c r="O3" s="385" t="s">
        <v>166</v>
      </c>
      <c r="P3" s="103" t="s">
        <v>118</v>
      </c>
      <c r="Q3" s="388" t="s">
        <v>7</v>
      </c>
      <c r="R3" s="385" t="s">
        <v>158</v>
      </c>
      <c r="S3" s="389" t="s">
        <v>371</v>
      </c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1"/>
      <c r="AF3" s="385" t="s">
        <v>2</v>
      </c>
    </row>
    <row r="4" spans="1:32" s="166" customFormat="1" ht="34.9" customHeight="1" x14ac:dyDescent="0.2">
      <c r="A4" s="379"/>
      <c r="B4" s="379"/>
      <c r="C4" s="379"/>
      <c r="D4" s="381"/>
      <c r="E4" s="381"/>
      <c r="F4" s="379"/>
      <c r="G4" s="379"/>
      <c r="H4" s="383"/>
      <c r="I4" s="105" t="s">
        <v>59</v>
      </c>
      <c r="J4" s="105" t="s">
        <v>60</v>
      </c>
      <c r="K4" s="163" t="s">
        <v>61</v>
      </c>
      <c r="L4" s="163" t="s">
        <v>62</v>
      </c>
      <c r="M4" s="385"/>
      <c r="N4" s="385"/>
      <c r="O4" s="385"/>
      <c r="P4" s="105" t="s">
        <v>119</v>
      </c>
      <c r="Q4" s="388"/>
      <c r="R4" s="385"/>
      <c r="S4" s="164" t="s">
        <v>163</v>
      </c>
      <c r="T4" s="164" t="s">
        <v>11</v>
      </c>
      <c r="U4" s="164" t="s">
        <v>12</v>
      </c>
      <c r="V4" s="164" t="s">
        <v>13</v>
      </c>
      <c r="W4" s="164" t="s">
        <v>14</v>
      </c>
      <c r="X4" s="164" t="s">
        <v>15</v>
      </c>
      <c r="Y4" s="164" t="s">
        <v>16</v>
      </c>
      <c r="Z4" s="164" t="s">
        <v>17</v>
      </c>
      <c r="AA4" s="164" t="s">
        <v>18</v>
      </c>
      <c r="AB4" s="164" t="s">
        <v>19</v>
      </c>
      <c r="AC4" s="164" t="s">
        <v>20</v>
      </c>
      <c r="AD4" s="164" t="s">
        <v>21</v>
      </c>
      <c r="AE4" s="164" t="s">
        <v>147</v>
      </c>
      <c r="AF4" s="385"/>
    </row>
    <row r="5" spans="1:32" ht="34.9" customHeight="1" x14ac:dyDescent="0.55000000000000004">
      <c r="A5" s="409" t="s">
        <v>154</v>
      </c>
      <c r="B5" s="410"/>
      <c r="C5" s="410"/>
      <c r="D5" s="410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410"/>
      <c r="X5" s="410"/>
      <c r="Y5" s="410"/>
      <c r="Z5" s="410"/>
      <c r="AA5" s="410"/>
      <c r="AB5" s="410"/>
      <c r="AC5" s="410"/>
      <c r="AD5" s="410"/>
      <c r="AE5" s="410"/>
      <c r="AF5" s="411"/>
    </row>
    <row r="6" spans="1:32" ht="34.9" customHeight="1" x14ac:dyDescent="0.55000000000000004">
      <c r="A6" s="106">
        <v>1</v>
      </c>
      <c r="B6" s="106">
        <v>73811</v>
      </c>
      <c r="C6" s="106">
        <v>310</v>
      </c>
      <c r="D6" s="106">
        <v>3524</v>
      </c>
      <c r="E6" s="106" t="s">
        <v>78</v>
      </c>
      <c r="F6" s="107" t="s">
        <v>202</v>
      </c>
      <c r="G6" s="107" t="s">
        <v>280</v>
      </c>
      <c r="H6" s="108" t="s">
        <v>65</v>
      </c>
      <c r="I6" s="107">
        <v>0</v>
      </c>
      <c r="J6" s="107">
        <v>0</v>
      </c>
      <c r="K6" s="109">
        <v>18</v>
      </c>
      <c r="L6" s="110">
        <f>+I6*400+J6*100+K6</f>
        <v>18</v>
      </c>
      <c r="M6" s="106" t="s">
        <v>120</v>
      </c>
      <c r="N6" s="359" t="s">
        <v>29</v>
      </c>
      <c r="O6" s="112" t="s">
        <v>175</v>
      </c>
      <c r="P6" s="106" t="s">
        <v>233</v>
      </c>
      <c r="Q6" s="113">
        <v>50000</v>
      </c>
      <c r="R6" s="112"/>
      <c r="S6" s="358" t="s">
        <v>29</v>
      </c>
      <c r="T6" s="358" t="s">
        <v>29</v>
      </c>
      <c r="U6" s="358" t="s">
        <v>29</v>
      </c>
      <c r="V6" s="358" t="s">
        <v>29</v>
      </c>
      <c r="W6" s="358" t="s">
        <v>29</v>
      </c>
      <c r="X6" s="340"/>
      <c r="Y6" s="340"/>
      <c r="Z6" s="340"/>
      <c r="AA6" s="340"/>
      <c r="AB6" s="339"/>
      <c r="AC6" s="339"/>
      <c r="AD6" s="339"/>
      <c r="AE6" s="109"/>
      <c r="AF6" s="94" t="s">
        <v>362</v>
      </c>
    </row>
    <row r="7" spans="1:32" ht="34.9" customHeight="1" x14ac:dyDescent="0.55000000000000004">
      <c r="A7" s="394" t="s">
        <v>378</v>
      </c>
      <c r="B7" s="395"/>
      <c r="C7" s="395"/>
      <c r="D7" s="395"/>
      <c r="E7" s="395"/>
      <c r="F7" s="395"/>
      <c r="G7" s="395"/>
      <c r="H7" s="395"/>
      <c r="I7" s="395"/>
      <c r="J7" s="395"/>
      <c r="K7" s="395"/>
      <c r="L7" s="395"/>
      <c r="M7" s="395"/>
      <c r="N7" s="395"/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  <c r="AA7" s="395"/>
      <c r="AB7" s="395"/>
      <c r="AC7" s="395"/>
      <c r="AD7" s="395"/>
      <c r="AE7" s="395"/>
      <c r="AF7" s="396"/>
    </row>
    <row r="8" spans="1:32" ht="34.9" customHeight="1" x14ac:dyDescent="0.55000000000000004">
      <c r="A8" s="106">
        <v>1</v>
      </c>
      <c r="B8" s="106">
        <v>8514</v>
      </c>
      <c r="C8" s="106">
        <v>310</v>
      </c>
      <c r="D8" s="106">
        <v>3524</v>
      </c>
      <c r="E8" s="106" t="s">
        <v>78</v>
      </c>
      <c r="F8" s="107" t="s">
        <v>202</v>
      </c>
      <c r="G8" s="107" t="s">
        <v>379</v>
      </c>
      <c r="H8" s="108" t="s">
        <v>65</v>
      </c>
      <c r="I8" s="107">
        <v>0</v>
      </c>
      <c r="J8" s="107">
        <v>0</v>
      </c>
      <c r="K8" s="109">
        <v>18</v>
      </c>
      <c r="L8" s="110">
        <f>+I8*400+J8*100+K8</f>
        <v>18</v>
      </c>
      <c r="M8" s="106" t="s">
        <v>380</v>
      </c>
      <c r="N8" s="106" t="s">
        <v>381</v>
      </c>
      <c r="O8" s="112" t="s">
        <v>175</v>
      </c>
      <c r="P8" s="106" t="s">
        <v>233</v>
      </c>
      <c r="Q8" s="113">
        <v>50000</v>
      </c>
      <c r="R8" s="112" t="s">
        <v>374</v>
      </c>
      <c r="S8" s="397">
        <v>1000</v>
      </c>
      <c r="T8" s="398"/>
      <c r="U8" s="398"/>
      <c r="V8" s="398"/>
      <c r="W8" s="398"/>
      <c r="X8" s="398"/>
      <c r="Y8" s="398"/>
      <c r="Z8" s="398"/>
      <c r="AA8" s="398"/>
      <c r="AB8" s="398"/>
      <c r="AC8" s="398"/>
      <c r="AD8" s="399"/>
      <c r="AE8" s="109">
        <f>+S8</f>
        <v>1000</v>
      </c>
      <c r="AF8" s="95" t="s">
        <v>382</v>
      </c>
    </row>
    <row r="9" spans="1:32" ht="34.9" customHeight="1" x14ac:dyDescent="0.55000000000000004">
      <c r="A9" s="409" t="s">
        <v>167</v>
      </c>
      <c r="B9" s="410"/>
      <c r="C9" s="410"/>
      <c r="D9" s="410"/>
      <c r="E9" s="410"/>
      <c r="F9" s="410"/>
      <c r="G9" s="410"/>
      <c r="H9" s="410"/>
      <c r="I9" s="410"/>
      <c r="J9" s="410"/>
      <c r="K9" s="410"/>
      <c r="L9" s="410"/>
      <c r="M9" s="410"/>
      <c r="N9" s="410"/>
      <c r="O9" s="410"/>
      <c r="P9" s="410"/>
      <c r="Q9" s="410"/>
      <c r="R9" s="410"/>
      <c r="S9" s="410"/>
      <c r="T9" s="410"/>
      <c r="U9" s="410"/>
      <c r="V9" s="410"/>
      <c r="W9" s="410"/>
      <c r="X9" s="410"/>
      <c r="Y9" s="410"/>
      <c r="Z9" s="410"/>
      <c r="AA9" s="410"/>
      <c r="AB9" s="410"/>
      <c r="AC9" s="410"/>
      <c r="AD9" s="410"/>
      <c r="AE9" s="410"/>
      <c r="AF9" s="411"/>
    </row>
    <row r="10" spans="1:32" ht="34.9" customHeight="1" x14ac:dyDescent="0.55000000000000004">
      <c r="A10" s="112">
        <v>1</v>
      </c>
      <c r="B10" s="112">
        <v>9680</v>
      </c>
      <c r="C10" s="112">
        <v>344</v>
      </c>
      <c r="D10" s="112">
        <v>1455</v>
      </c>
      <c r="E10" s="112" t="s">
        <v>93</v>
      </c>
      <c r="F10" s="114" t="s">
        <v>206</v>
      </c>
      <c r="G10" s="114" t="s">
        <v>209</v>
      </c>
      <c r="H10" s="115" t="s">
        <v>85</v>
      </c>
      <c r="I10" s="114">
        <v>0</v>
      </c>
      <c r="J10" s="114">
        <v>0</v>
      </c>
      <c r="K10" s="116">
        <v>23.4</v>
      </c>
      <c r="L10" s="110">
        <f>+I10*400+J10*100+K10</f>
        <v>23.4</v>
      </c>
      <c r="M10" s="117" t="s">
        <v>216</v>
      </c>
      <c r="N10" s="118" t="s">
        <v>307</v>
      </c>
      <c r="O10" s="112"/>
      <c r="P10" s="112"/>
      <c r="Q10" s="119">
        <v>81000</v>
      </c>
      <c r="R10" s="112" t="s">
        <v>219</v>
      </c>
      <c r="S10" s="116">
        <v>27000</v>
      </c>
      <c r="T10" s="116">
        <v>27000</v>
      </c>
      <c r="U10" s="116">
        <v>27000</v>
      </c>
      <c r="V10" s="116">
        <v>27000</v>
      </c>
      <c r="W10" s="116">
        <v>27000</v>
      </c>
      <c r="X10" s="116"/>
      <c r="Y10" s="116"/>
      <c r="Z10" s="116"/>
      <c r="AA10" s="116"/>
      <c r="AB10" s="116"/>
      <c r="AC10" s="116"/>
      <c r="AD10" s="116"/>
      <c r="AE10" s="116">
        <f t="shared" ref="AE10:AE16" si="0">SUM(S10:AD10)</f>
        <v>135000</v>
      </c>
      <c r="AF10" s="95" t="s">
        <v>237</v>
      </c>
    </row>
    <row r="11" spans="1:32" ht="34.9" customHeight="1" x14ac:dyDescent="0.55000000000000004">
      <c r="A11" s="112">
        <f>+A10+1</f>
        <v>2</v>
      </c>
      <c r="B11" s="112">
        <v>5769</v>
      </c>
      <c r="C11" s="112">
        <v>427</v>
      </c>
      <c r="D11" s="112">
        <v>1061</v>
      </c>
      <c r="E11" s="112" t="s">
        <v>71</v>
      </c>
      <c r="F11" s="114" t="s">
        <v>203</v>
      </c>
      <c r="G11" s="114" t="s">
        <v>73</v>
      </c>
      <c r="H11" s="115" t="s">
        <v>65</v>
      </c>
      <c r="I11" s="114">
        <v>0</v>
      </c>
      <c r="J11" s="114">
        <v>0</v>
      </c>
      <c r="K11" s="120">
        <v>21.9</v>
      </c>
      <c r="L11" s="110">
        <f>+I11*400+J11*100+K11</f>
        <v>21.9</v>
      </c>
      <c r="M11" s="121" t="s">
        <v>218</v>
      </c>
      <c r="N11" s="118" t="s">
        <v>308</v>
      </c>
      <c r="O11" s="106" t="s">
        <v>176</v>
      </c>
      <c r="P11" s="112" t="s">
        <v>234</v>
      </c>
      <c r="Q11" s="121">
        <v>30000</v>
      </c>
      <c r="R11" s="112" t="s">
        <v>374</v>
      </c>
      <c r="S11" s="120">
        <v>18150</v>
      </c>
      <c r="T11" s="120">
        <v>18150</v>
      </c>
      <c r="U11" s="120">
        <v>18150</v>
      </c>
      <c r="V11" s="120">
        <v>18150</v>
      </c>
      <c r="W11" s="120">
        <v>18150</v>
      </c>
      <c r="X11" s="120"/>
      <c r="Y11" s="120"/>
      <c r="Z11" s="120"/>
      <c r="AA11" s="120"/>
      <c r="AB11" s="120"/>
      <c r="AC11" s="120"/>
      <c r="AD11" s="120"/>
      <c r="AE11" s="120">
        <f t="shared" si="0"/>
        <v>90750</v>
      </c>
      <c r="AF11" s="95" t="s">
        <v>298</v>
      </c>
    </row>
    <row r="12" spans="1:32" ht="34.9" customHeight="1" x14ac:dyDescent="0.55000000000000004">
      <c r="A12" s="112">
        <f t="shared" ref="A12:A20" si="1">+A11+1</f>
        <v>3</v>
      </c>
      <c r="B12" s="112">
        <v>4718</v>
      </c>
      <c r="C12" s="112">
        <v>776</v>
      </c>
      <c r="D12" s="112">
        <v>807</v>
      </c>
      <c r="E12" s="112" t="s">
        <v>77</v>
      </c>
      <c r="F12" s="114" t="s">
        <v>204</v>
      </c>
      <c r="G12" s="114" t="s">
        <v>309</v>
      </c>
      <c r="H12" s="115" t="s">
        <v>65</v>
      </c>
      <c r="I12" s="114">
        <v>0</v>
      </c>
      <c r="J12" s="114">
        <v>0</v>
      </c>
      <c r="K12" s="120">
        <v>27.4</v>
      </c>
      <c r="L12" s="110">
        <f>+I12*400+J12*100+K12</f>
        <v>27.4</v>
      </c>
      <c r="M12" s="112" t="s">
        <v>121</v>
      </c>
      <c r="N12" s="118" t="s">
        <v>122</v>
      </c>
      <c r="O12" s="106" t="s">
        <v>177</v>
      </c>
      <c r="P12" s="112" t="s">
        <v>66</v>
      </c>
      <c r="Q12" s="121">
        <v>105000</v>
      </c>
      <c r="R12" s="112" t="s">
        <v>375</v>
      </c>
      <c r="S12" s="122">
        <v>40000</v>
      </c>
      <c r="T12" s="122">
        <v>40000</v>
      </c>
      <c r="U12" s="122">
        <v>40000</v>
      </c>
      <c r="V12" s="122">
        <v>40000</v>
      </c>
      <c r="W12" s="122">
        <v>40000</v>
      </c>
      <c r="X12" s="122">
        <v>40000</v>
      </c>
      <c r="Y12" s="122">
        <v>40000</v>
      </c>
      <c r="Z12" s="122">
        <v>40000</v>
      </c>
      <c r="AA12" s="122">
        <v>40000</v>
      </c>
      <c r="AB12" s="122">
        <v>40000</v>
      </c>
      <c r="AC12" s="122"/>
      <c r="AD12" s="122"/>
      <c r="AE12" s="120">
        <f t="shared" si="0"/>
        <v>400000</v>
      </c>
      <c r="AF12" s="95" t="s">
        <v>180</v>
      </c>
    </row>
    <row r="13" spans="1:32" ht="34.9" customHeight="1" x14ac:dyDescent="0.55000000000000004">
      <c r="A13" s="112">
        <f t="shared" si="1"/>
        <v>4</v>
      </c>
      <c r="B13" s="112">
        <v>10180</v>
      </c>
      <c r="C13" s="112">
        <v>344</v>
      </c>
      <c r="D13" s="112">
        <v>1455</v>
      </c>
      <c r="E13" s="112" t="s">
        <v>93</v>
      </c>
      <c r="F13" s="114" t="s">
        <v>206</v>
      </c>
      <c r="G13" s="114" t="s">
        <v>376</v>
      </c>
      <c r="H13" s="115" t="s">
        <v>85</v>
      </c>
      <c r="I13" s="114">
        <v>0</v>
      </c>
      <c r="J13" s="114">
        <v>0</v>
      </c>
      <c r="K13" s="116">
        <v>96.2</v>
      </c>
      <c r="L13" s="110">
        <f>+I13*400+J13*100+K13</f>
        <v>96.2</v>
      </c>
      <c r="M13" s="117" t="s">
        <v>217</v>
      </c>
      <c r="N13" s="118" t="s">
        <v>377</v>
      </c>
      <c r="O13" s="112"/>
      <c r="P13" s="112"/>
      <c r="Q13" s="123">
        <v>10000</v>
      </c>
      <c r="R13" s="112" t="s">
        <v>374</v>
      </c>
      <c r="S13" s="123">
        <v>5324</v>
      </c>
      <c r="T13" s="123">
        <v>5324</v>
      </c>
      <c r="U13" s="123">
        <v>5324</v>
      </c>
      <c r="V13" s="123">
        <v>5324</v>
      </c>
      <c r="W13" s="123">
        <v>5324</v>
      </c>
      <c r="X13" s="123"/>
      <c r="Y13" s="123"/>
      <c r="Z13" s="123"/>
      <c r="AA13" s="123"/>
      <c r="AB13" s="123"/>
      <c r="AC13" s="123"/>
      <c r="AD13" s="123"/>
      <c r="AE13" s="116">
        <f t="shared" si="0"/>
        <v>26620</v>
      </c>
      <c r="AF13" s="95" t="s">
        <v>298</v>
      </c>
    </row>
    <row r="14" spans="1:32" ht="34.9" customHeight="1" x14ac:dyDescent="0.55000000000000004">
      <c r="A14" s="112">
        <f t="shared" si="1"/>
        <v>5</v>
      </c>
      <c r="B14" s="112"/>
      <c r="C14" s="112"/>
      <c r="D14" s="112"/>
      <c r="E14" s="112"/>
      <c r="F14" s="114" t="s">
        <v>207</v>
      </c>
      <c r="G14" s="114" t="s">
        <v>156</v>
      </c>
      <c r="H14" s="115"/>
      <c r="I14" s="114"/>
      <c r="J14" s="114"/>
      <c r="K14" s="116"/>
      <c r="L14" s="110">
        <f>+I14*400+J14*100+K14</f>
        <v>0</v>
      </c>
      <c r="M14" s="112"/>
      <c r="N14" s="118" t="s">
        <v>6</v>
      </c>
      <c r="O14" s="112" t="s">
        <v>174</v>
      </c>
      <c r="P14" s="112" t="s">
        <v>235</v>
      </c>
      <c r="Q14" s="123">
        <v>10000</v>
      </c>
      <c r="R14" s="112" t="s">
        <v>374</v>
      </c>
      <c r="S14" s="116">
        <v>5324</v>
      </c>
      <c r="T14" s="116">
        <v>5324</v>
      </c>
      <c r="U14" s="116">
        <v>5324</v>
      </c>
      <c r="V14" s="116">
        <v>5324</v>
      </c>
      <c r="W14" s="116">
        <v>5324</v>
      </c>
      <c r="X14" s="116"/>
      <c r="Y14" s="116"/>
      <c r="Z14" s="116"/>
      <c r="AA14" s="116"/>
      <c r="AB14" s="116"/>
      <c r="AC14" s="116"/>
      <c r="AD14" s="116"/>
      <c r="AE14" s="116">
        <f t="shared" si="0"/>
        <v>26620</v>
      </c>
      <c r="AF14" s="95" t="s">
        <v>298</v>
      </c>
    </row>
    <row r="15" spans="1:32" ht="34.9" customHeight="1" x14ac:dyDescent="0.55000000000000004">
      <c r="A15" s="112">
        <f t="shared" si="1"/>
        <v>6</v>
      </c>
      <c r="B15" s="112"/>
      <c r="C15" s="112"/>
      <c r="D15" s="112"/>
      <c r="E15" s="112"/>
      <c r="F15" s="114"/>
      <c r="G15" s="114" t="s">
        <v>132</v>
      </c>
      <c r="H15" s="115"/>
      <c r="I15" s="114"/>
      <c r="J15" s="114"/>
      <c r="K15" s="116"/>
      <c r="L15" s="124"/>
      <c r="M15" s="118" t="s">
        <v>200</v>
      </c>
      <c r="N15" s="118" t="s">
        <v>201</v>
      </c>
      <c r="O15" s="112"/>
      <c r="P15" s="112"/>
      <c r="Q15" s="123" t="s">
        <v>66</v>
      </c>
      <c r="R15" s="112" t="s">
        <v>430</v>
      </c>
      <c r="S15" s="116">
        <v>3800</v>
      </c>
      <c r="T15" s="116">
        <v>3800</v>
      </c>
      <c r="U15" s="116">
        <v>3800</v>
      </c>
      <c r="V15" s="116">
        <v>3800</v>
      </c>
      <c r="W15" s="116">
        <v>3800</v>
      </c>
      <c r="X15" s="116"/>
      <c r="Y15" s="116"/>
      <c r="Z15" s="116"/>
      <c r="AA15" s="116"/>
      <c r="AB15" s="116"/>
      <c r="AC15" s="123"/>
      <c r="AD15" s="123"/>
      <c r="AE15" s="116">
        <f t="shared" si="0"/>
        <v>19000</v>
      </c>
      <c r="AF15" s="95" t="s">
        <v>298</v>
      </c>
    </row>
    <row r="16" spans="1:32" ht="34.9" customHeight="1" x14ac:dyDescent="0.55000000000000004">
      <c r="A16" s="112">
        <v>7</v>
      </c>
      <c r="B16" s="112"/>
      <c r="C16" s="112"/>
      <c r="D16" s="112"/>
      <c r="E16" s="112"/>
      <c r="F16" s="114"/>
      <c r="G16" s="114" t="s">
        <v>132</v>
      </c>
      <c r="H16" s="115"/>
      <c r="I16" s="114"/>
      <c r="J16" s="114"/>
      <c r="K16" s="116"/>
      <c r="L16" s="124"/>
      <c r="M16" s="118" t="s">
        <v>314</v>
      </c>
      <c r="N16" s="118" t="s">
        <v>315</v>
      </c>
      <c r="O16" s="112"/>
      <c r="P16" s="112"/>
      <c r="Q16" s="123"/>
      <c r="R16" s="112" t="s">
        <v>431</v>
      </c>
      <c r="S16" s="116">
        <v>7348</v>
      </c>
      <c r="T16" s="116">
        <v>6748</v>
      </c>
      <c r="U16" s="116">
        <v>7476</v>
      </c>
      <c r="V16" s="123">
        <v>7548</v>
      </c>
      <c r="W16" s="123">
        <v>7380</v>
      </c>
      <c r="X16" s="123"/>
      <c r="Y16" s="123"/>
      <c r="Z16" s="123"/>
      <c r="AA16" s="123"/>
      <c r="AB16" s="123"/>
      <c r="AC16" s="123"/>
      <c r="AD16" s="123"/>
      <c r="AE16" s="116">
        <f t="shared" si="0"/>
        <v>36500</v>
      </c>
      <c r="AF16" s="95" t="s">
        <v>298</v>
      </c>
    </row>
    <row r="17" spans="1:32" ht="34.9" customHeight="1" x14ac:dyDescent="0.55000000000000004">
      <c r="A17" s="112">
        <v>8</v>
      </c>
      <c r="B17" s="112"/>
      <c r="C17" s="112"/>
      <c r="D17" s="112"/>
      <c r="E17" s="112"/>
      <c r="F17" s="114"/>
      <c r="G17" s="114" t="s">
        <v>132</v>
      </c>
      <c r="H17" s="115"/>
      <c r="I17" s="114"/>
      <c r="J17" s="114"/>
      <c r="K17" s="116"/>
      <c r="L17" s="124"/>
      <c r="M17" s="118" t="s">
        <v>326</v>
      </c>
      <c r="N17" s="118" t="s">
        <v>327</v>
      </c>
      <c r="O17" s="112"/>
      <c r="P17" s="112"/>
      <c r="Q17" s="123"/>
      <c r="R17" s="112" t="s">
        <v>432</v>
      </c>
      <c r="S17" s="116">
        <v>4608</v>
      </c>
      <c r="T17" s="116">
        <v>4008</v>
      </c>
      <c r="U17" s="116">
        <v>4120</v>
      </c>
      <c r="V17" s="123">
        <v>4888</v>
      </c>
      <c r="W17" s="123">
        <v>5360</v>
      </c>
      <c r="X17" s="123"/>
      <c r="Y17" s="123"/>
      <c r="Z17" s="123"/>
      <c r="AA17" s="123"/>
      <c r="AB17" s="123"/>
      <c r="AC17" s="123"/>
      <c r="AD17" s="123"/>
      <c r="AE17" s="116">
        <f t="shared" ref="AE17:AE18" si="2">SUM(S17:AD17)</f>
        <v>22984</v>
      </c>
      <c r="AF17" s="95" t="s">
        <v>298</v>
      </c>
    </row>
    <row r="18" spans="1:32" ht="34.9" customHeight="1" x14ac:dyDescent="0.55000000000000004">
      <c r="A18" s="112">
        <v>9</v>
      </c>
      <c r="B18" s="112"/>
      <c r="C18" s="112"/>
      <c r="D18" s="112"/>
      <c r="E18" s="112"/>
      <c r="F18" s="114"/>
      <c r="G18" s="114" t="s">
        <v>132</v>
      </c>
      <c r="H18" s="115"/>
      <c r="I18" s="114"/>
      <c r="J18" s="114"/>
      <c r="K18" s="116"/>
      <c r="L18" s="124"/>
      <c r="M18" s="118" t="s">
        <v>331</v>
      </c>
      <c r="N18" s="118" t="s">
        <v>349</v>
      </c>
      <c r="O18" s="112"/>
      <c r="P18" s="112"/>
      <c r="Q18" s="123"/>
      <c r="R18" s="112" t="s">
        <v>433</v>
      </c>
      <c r="S18" s="116">
        <v>7648</v>
      </c>
      <c r="T18" s="116">
        <v>7240</v>
      </c>
      <c r="U18" s="116">
        <v>4592</v>
      </c>
      <c r="V18" s="123">
        <v>7456</v>
      </c>
      <c r="W18" s="123">
        <v>7728</v>
      </c>
      <c r="X18" s="123"/>
      <c r="Y18" s="123"/>
      <c r="Z18" s="123"/>
      <c r="AA18" s="123"/>
      <c r="AB18" s="123"/>
      <c r="AC18" s="123"/>
      <c r="AD18" s="123"/>
      <c r="AE18" s="116">
        <f t="shared" si="2"/>
        <v>34664</v>
      </c>
      <c r="AF18" s="95" t="s">
        <v>298</v>
      </c>
    </row>
    <row r="19" spans="1:32" ht="34.9" customHeight="1" x14ac:dyDescent="0.55000000000000004">
      <c r="A19" s="112">
        <v>10</v>
      </c>
      <c r="B19" s="112">
        <v>7449</v>
      </c>
      <c r="C19" s="112">
        <v>247</v>
      </c>
      <c r="D19" s="112">
        <v>275</v>
      </c>
      <c r="E19" s="112" t="s">
        <v>86</v>
      </c>
      <c r="F19" s="114" t="s">
        <v>87</v>
      </c>
      <c r="G19" s="114" t="s">
        <v>89</v>
      </c>
      <c r="H19" s="115" t="s">
        <v>88</v>
      </c>
      <c r="I19" s="114">
        <v>35</v>
      </c>
      <c r="J19" s="114">
        <v>0</v>
      </c>
      <c r="K19" s="120">
        <v>32</v>
      </c>
      <c r="L19" s="120">
        <f>+I19*400+J19*100+K19</f>
        <v>14032</v>
      </c>
      <c r="M19" s="112" t="s">
        <v>149</v>
      </c>
      <c r="N19" s="118" t="s">
        <v>150</v>
      </c>
      <c r="O19" s="112"/>
      <c r="P19" s="112" t="s">
        <v>223</v>
      </c>
      <c r="Q19" s="121"/>
      <c r="R19" s="112" t="s">
        <v>373</v>
      </c>
      <c r="S19" s="116">
        <v>6000</v>
      </c>
      <c r="T19" s="116">
        <v>6000</v>
      </c>
      <c r="U19" s="116">
        <v>6000</v>
      </c>
      <c r="V19" s="116">
        <v>6000</v>
      </c>
      <c r="W19" s="116">
        <v>6000</v>
      </c>
      <c r="X19" s="116">
        <v>6000</v>
      </c>
      <c r="Y19" s="116"/>
      <c r="Z19" s="116"/>
      <c r="AA19" s="116"/>
      <c r="AB19" s="116"/>
      <c r="AC19" s="116"/>
      <c r="AD19" s="116"/>
      <c r="AE19" s="120">
        <f>SUM(S19:AD19)</f>
        <v>36000</v>
      </c>
      <c r="AF19" s="95" t="s">
        <v>297</v>
      </c>
    </row>
    <row r="20" spans="1:32" ht="34.9" hidden="1" customHeight="1" x14ac:dyDescent="0.55000000000000004">
      <c r="A20" s="112">
        <f t="shared" si="1"/>
        <v>11</v>
      </c>
      <c r="B20" s="106">
        <v>7655</v>
      </c>
      <c r="C20" s="106">
        <v>6</v>
      </c>
      <c r="D20" s="106">
        <v>25</v>
      </c>
      <c r="E20" s="106" t="s">
        <v>94</v>
      </c>
      <c r="F20" s="107" t="s">
        <v>95</v>
      </c>
      <c r="G20" s="107" t="s">
        <v>96</v>
      </c>
      <c r="H20" s="108" t="s">
        <v>85</v>
      </c>
      <c r="I20" s="107">
        <v>15</v>
      </c>
      <c r="J20" s="107">
        <v>1</v>
      </c>
      <c r="K20" s="125">
        <v>61</v>
      </c>
      <c r="L20" s="126">
        <f>+I20*400+J20*100+K20</f>
        <v>6161</v>
      </c>
      <c r="M20" s="127" t="s">
        <v>225</v>
      </c>
      <c r="N20" s="111" t="s">
        <v>224</v>
      </c>
      <c r="O20" s="106" t="s">
        <v>66</v>
      </c>
      <c r="P20" s="106" t="s">
        <v>226</v>
      </c>
      <c r="Q20" s="128">
        <v>0</v>
      </c>
      <c r="R20" s="112" t="s">
        <v>281</v>
      </c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5">
        <f>SUM(S20:AD20)</f>
        <v>0</v>
      </c>
      <c r="AF20" s="95" t="s">
        <v>300</v>
      </c>
    </row>
    <row r="21" spans="1:32" ht="34.9" customHeight="1" thickBot="1" x14ac:dyDescent="0.6">
      <c r="A21" s="404" t="s">
        <v>28</v>
      </c>
      <c r="B21" s="405"/>
      <c r="C21" s="405"/>
      <c r="D21" s="405"/>
      <c r="E21" s="405"/>
      <c r="F21" s="405"/>
      <c r="G21" s="405"/>
      <c r="H21" s="405"/>
      <c r="I21" s="405"/>
      <c r="J21" s="405"/>
      <c r="K21" s="405"/>
      <c r="L21" s="405"/>
      <c r="M21" s="405"/>
      <c r="N21" s="405"/>
      <c r="O21" s="405"/>
      <c r="P21" s="405"/>
      <c r="Q21" s="405"/>
      <c r="R21" s="406"/>
      <c r="S21" s="129">
        <f t="shared" ref="S21:AE21" si="3">SUM(S10:S20)</f>
        <v>125202</v>
      </c>
      <c r="T21" s="129">
        <f t="shared" si="3"/>
        <v>123594</v>
      </c>
      <c r="U21" s="129">
        <f t="shared" si="3"/>
        <v>121786</v>
      </c>
      <c r="V21" s="129">
        <f t="shared" si="3"/>
        <v>125490</v>
      </c>
      <c r="W21" s="129">
        <f t="shared" si="3"/>
        <v>126066</v>
      </c>
      <c r="X21" s="129">
        <f t="shared" si="3"/>
        <v>46000</v>
      </c>
      <c r="Y21" s="129">
        <f t="shared" si="3"/>
        <v>40000</v>
      </c>
      <c r="Z21" s="129">
        <f t="shared" si="3"/>
        <v>40000</v>
      </c>
      <c r="AA21" s="129">
        <f t="shared" si="3"/>
        <v>40000</v>
      </c>
      <c r="AB21" s="129">
        <f t="shared" si="3"/>
        <v>40000</v>
      </c>
      <c r="AC21" s="129">
        <f t="shared" si="3"/>
        <v>0</v>
      </c>
      <c r="AD21" s="129">
        <f>SUM(AD10:AD20)</f>
        <v>0</v>
      </c>
      <c r="AE21" s="129">
        <f t="shared" si="3"/>
        <v>828138</v>
      </c>
      <c r="AF21" s="96"/>
    </row>
    <row r="22" spans="1:32" ht="34.9" customHeight="1" x14ac:dyDescent="0.55000000000000004">
      <c r="A22" s="412" t="s">
        <v>159</v>
      </c>
      <c r="B22" s="413"/>
      <c r="C22" s="413"/>
      <c r="D22" s="413"/>
      <c r="E22" s="413"/>
      <c r="F22" s="413"/>
      <c r="G22" s="413"/>
      <c r="H22" s="413"/>
      <c r="I22" s="413"/>
      <c r="J22" s="413"/>
      <c r="K22" s="413"/>
      <c r="L22" s="413"/>
      <c r="M22" s="413"/>
      <c r="N22" s="413"/>
      <c r="O22" s="413"/>
      <c r="P22" s="413"/>
      <c r="Q22" s="413"/>
      <c r="R22" s="413"/>
      <c r="S22" s="413"/>
      <c r="T22" s="413"/>
      <c r="U22" s="413"/>
      <c r="V22" s="413"/>
      <c r="W22" s="413"/>
      <c r="X22" s="413"/>
      <c r="Y22" s="413"/>
      <c r="Z22" s="413"/>
      <c r="AA22" s="413"/>
      <c r="AB22" s="413"/>
      <c r="AC22" s="413"/>
      <c r="AD22" s="413"/>
      <c r="AE22" s="413"/>
      <c r="AF22" s="414"/>
    </row>
    <row r="23" spans="1:32" ht="34.9" customHeight="1" x14ac:dyDescent="0.55000000000000004">
      <c r="A23" s="112">
        <v>1</v>
      </c>
      <c r="B23" s="112">
        <v>14408</v>
      </c>
      <c r="C23" s="112"/>
      <c r="D23" s="112"/>
      <c r="E23" s="112"/>
      <c r="F23" s="114" t="s">
        <v>141</v>
      </c>
      <c r="G23" s="114" t="s">
        <v>208</v>
      </c>
      <c r="H23" s="115"/>
      <c r="I23" s="114"/>
      <c r="J23" s="114"/>
      <c r="K23" s="116"/>
      <c r="L23" s="110"/>
      <c r="M23" s="117"/>
      <c r="N23" s="133" t="s">
        <v>368</v>
      </c>
      <c r="O23" s="112" t="s">
        <v>169</v>
      </c>
      <c r="P23" s="112" t="s">
        <v>231</v>
      </c>
      <c r="Q23" s="123">
        <v>10000</v>
      </c>
      <c r="R23" s="112" t="s">
        <v>369</v>
      </c>
      <c r="S23" s="350">
        <v>6500</v>
      </c>
      <c r="T23" s="350">
        <v>6500</v>
      </c>
      <c r="U23" s="350">
        <v>6500</v>
      </c>
      <c r="V23" s="350">
        <v>6500</v>
      </c>
      <c r="W23" s="370" t="s">
        <v>395</v>
      </c>
      <c r="X23" s="361"/>
      <c r="Y23" s="361"/>
      <c r="Z23" s="361"/>
      <c r="AA23" s="392"/>
      <c r="AB23" s="393"/>
      <c r="AC23" s="350"/>
      <c r="AD23" s="350"/>
      <c r="AE23" s="116">
        <f>SUM(S23:AD23)</f>
        <v>26000</v>
      </c>
      <c r="AF23" s="97" t="s">
        <v>236</v>
      </c>
    </row>
    <row r="24" spans="1:32" ht="34.9" customHeight="1" x14ac:dyDescent="0.55000000000000004">
      <c r="A24" s="112">
        <v>2</v>
      </c>
      <c r="B24" s="112">
        <v>21845</v>
      </c>
      <c r="C24" s="112">
        <v>496</v>
      </c>
      <c r="D24" s="112">
        <v>3469</v>
      </c>
      <c r="E24" s="112" t="s">
        <v>140</v>
      </c>
      <c r="F24" s="114" t="s">
        <v>141</v>
      </c>
      <c r="G24" s="114" t="s">
        <v>5</v>
      </c>
      <c r="H24" s="115" t="s">
        <v>143</v>
      </c>
      <c r="I24" s="114">
        <v>0</v>
      </c>
      <c r="J24" s="114">
        <v>2</v>
      </c>
      <c r="K24" s="120">
        <v>55</v>
      </c>
      <c r="L24" s="110">
        <f t="shared" ref="L24:L30" si="4">+I24*400+J24*100+K24</f>
        <v>255</v>
      </c>
      <c r="M24" s="117" t="s">
        <v>211</v>
      </c>
      <c r="N24" s="417" t="s">
        <v>343</v>
      </c>
      <c r="O24" s="415" t="s">
        <v>173</v>
      </c>
      <c r="P24" s="415" t="s">
        <v>228</v>
      </c>
      <c r="Q24" s="416">
        <v>40000</v>
      </c>
      <c r="R24" s="415" t="s">
        <v>374</v>
      </c>
      <c r="S24" s="386">
        <v>46200</v>
      </c>
      <c r="T24" s="386">
        <v>46200</v>
      </c>
      <c r="U24" s="386">
        <v>46200</v>
      </c>
      <c r="V24" s="386">
        <v>46200</v>
      </c>
      <c r="W24" s="386">
        <v>46200</v>
      </c>
      <c r="X24" s="386"/>
      <c r="Y24" s="386"/>
      <c r="Z24" s="386"/>
      <c r="AA24" s="386"/>
      <c r="AB24" s="386"/>
      <c r="AC24" s="401"/>
      <c r="AD24" s="401"/>
      <c r="AE24" s="407">
        <f>SUM(S24:AD25)</f>
        <v>231000</v>
      </c>
      <c r="AF24" s="400" t="s">
        <v>296</v>
      </c>
    </row>
    <row r="25" spans="1:32" ht="34.9" customHeight="1" x14ac:dyDescent="0.55000000000000004">
      <c r="A25" s="112"/>
      <c r="B25" s="112">
        <v>21844</v>
      </c>
      <c r="C25" s="112">
        <v>498</v>
      </c>
      <c r="D25" s="112">
        <v>3468</v>
      </c>
      <c r="E25" s="112" t="s">
        <v>140</v>
      </c>
      <c r="F25" s="114" t="s">
        <v>141</v>
      </c>
      <c r="G25" s="114" t="s">
        <v>5</v>
      </c>
      <c r="H25" s="115" t="s">
        <v>143</v>
      </c>
      <c r="I25" s="114">
        <v>0</v>
      </c>
      <c r="J25" s="114">
        <v>2</v>
      </c>
      <c r="K25" s="120">
        <v>19</v>
      </c>
      <c r="L25" s="110">
        <f t="shared" si="4"/>
        <v>219</v>
      </c>
      <c r="M25" s="117" t="s">
        <v>212</v>
      </c>
      <c r="N25" s="417"/>
      <c r="O25" s="415"/>
      <c r="P25" s="415"/>
      <c r="Q25" s="416"/>
      <c r="R25" s="415"/>
      <c r="S25" s="387"/>
      <c r="T25" s="387"/>
      <c r="U25" s="387"/>
      <c r="V25" s="387"/>
      <c r="W25" s="387"/>
      <c r="X25" s="387"/>
      <c r="Y25" s="387"/>
      <c r="Z25" s="387"/>
      <c r="AA25" s="387"/>
      <c r="AB25" s="387"/>
      <c r="AC25" s="387"/>
      <c r="AD25" s="387"/>
      <c r="AE25" s="407"/>
      <c r="AF25" s="400"/>
    </row>
    <row r="26" spans="1:32" ht="34.9" customHeight="1" x14ac:dyDescent="0.55000000000000004">
      <c r="A26" s="131">
        <v>3</v>
      </c>
      <c r="B26" s="131">
        <v>28402</v>
      </c>
      <c r="C26" s="131">
        <v>1207</v>
      </c>
      <c r="D26" s="131">
        <v>703</v>
      </c>
      <c r="E26" s="131" t="s">
        <v>138</v>
      </c>
      <c r="F26" s="130" t="s">
        <v>139</v>
      </c>
      <c r="G26" s="130" t="s">
        <v>4</v>
      </c>
      <c r="H26" s="132" t="s">
        <v>65</v>
      </c>
      <c r="I26" s="130">
        <v>0</v>
      </c>
      <c r="J26" s="130">
        <v>2</v>
      </c>
      <c r="K26" s="110">
        <v>44</v>
      </c>
      <c r="L26" s="110">
        <f>+I26*400+J26*100+K26</f>
        <v>244</v>
      </c>
      <c r="M26" s="117" t="s">
        <v>210</v>
      </c>
      <c r="N26" s="133" t="s">
        <v>310</v>
      </c>
      <c r="O26" s="112" t="s">
        <v>291</v>
      </c>
      <c r="P26" s="112" t="s">
        <v>227</v>
      </c>
      <c r="Q26" s="117" t="s">
        <v>66</v>
      </c>
      <c r="R26" s="112" t="s">
        <v>374</v>
      </c>
      <c r="S26" s="110">
        <v>10648</v>
      </c>
      <c r="T26" s="110">
        <v>10648</v>
      </c>
      <c r="U26" s="110">
        <v>10648</v>
      </c>
      <c r="V26" s="110">
        <v>10648</v>
      </c>
      <c r="W26" s="110">
        <v>10648</v>
      </c>
      <c r="X26" s="110"/>
      <c r="Y26" s="110"/>
      <c r="Z26" s="110"/>
      <c r="AA26" s="110"/>
      <c r="AB26" s="110"/>
      <c r="AC26" s="110"/>
      <c r="AD26" s="110"/>
      <c r="AE26" s="110">
        <f>SUM(S26:AD26)</f>
        <v>53240</v>
      </c>
      <c r="AF26" s="97" t="s">
        <v>236</v>
      </c>
    </row>
    <row r="27" spans="1:32" ht="34.9" customHeight="1" x14ac:dyDescent="0.55000000000000004">
      <c r="A27" s="112">
        <v>5</v>
      </c>
      <c r="B27" s="112">
        <v>14407</v>
      </c>
      <c r="C27" s="112">
        <v>4480</v>
      </c>
      <c r="D27" s="112">
        <v>2054</v>
      </c>
      <c r="E27" s="112" t="s">
        <v>142</v>
      </c>
      <c r="F27" s="114" t="s">
        <v>141</v>
      </c>
      <c r="G27" s="114" t="s">
        <v>164</v>
      </c>
      <c r="H27" s="115" t="s">
        <v>65</v>
      </c>
      <c r="I27" s="114">
        <v>0</v>
      </c>
      <c r="J27" s="114">
        <v>0</v>
      </c>
      <c r="K27" s="116">
        <v>98</v>
      </c>
      <c r="L27" s="110">
        <f t="shared" si="4"/>
        <v>98</v>
      </c>
      <c r="M27" s="117" t="s">
        <v>213</v>
      </c>
      <c r="N27" s="118" t="s">
        <v>3</v>
      </c>
      <c r="O27" s="112"/>
      <c r="P27" s="112" t="s">
        <v>229</v>
      </c>
      <c r="Q27" s="121">
        <v>10000</v>
      </c>
      <c r="R27" s="112" t="s">
        <v>374</v>
      </c>
      <c r="S27" s="120">
        <v>7986</v>
      </c>
      <c r="T27" s="120">
        <v>7986</v>
      </c>
      <c r="U27" s="120">
        <v>7986</v>
      </c>
      <c r="V27" s="120">
        <v>7986</v>
      </c>
      <c r="W27" s="120">
        <v>7986</v>
      </c>
      <c r="X27" s="120"/>
      <c r="Y27" s="120"/>
      <c r="Z27" s="120"/>
      <c r="AA27" s="120"/>
      <c r="AB27" s="120"/>
      <c r="AC27" s="120"/>
      <c r="AD27" s="120"/>
      <c r="AE27" s="120">
        <f>SUM(S27:AD27)</f>
        <v>39930</v>
      </c>
      <c r="AF27" s="97" t="s">
        <v>236</v>
      </c>
    </row>
    <row r="28" spans="1:32" ht="34.9" customHeight="1" x14ac:dyDescent="0.55000000000000004">
      <c r="A28" s="112">
        <v>6</v>
      </c>
      <c r="B28" s="112">
        <v>14408</v>
      </c>
      <c r="C28" s="112">
        <v>4481</v>
      </c>
      <c r="D28" s="112">
        <v>2055</v>
      </c>
      <c r="E28" s="112" t="s">
        <v>142</v>
      </c>
      <c r="F28" s="114" t="s">
        <v>141</v>
      </c>
      <c r="G28" s="114" t="s">
        <v>278</v>
      </c>
      <c r="H28" s="115" t="s">
        <v>65</v>
      </c>
      <c r="I28" s="114">
        <v>0</v>
      </c>
      <c r="J28" s="114">
        <v>0</v>
      </c>
      <c r="K28" s="116">
        <v>98</v>
      </c>
      <c r="L28" s="110">
        <f t="shared" si="4"/>
        <v>98</v>
      </c>
      <c r="M28" s="117" t="s">
        <v>213</v>
      </c>
      <c r="N28" s="118" t="s">
        <v>10</v>
      </c>
      <c r="O28" s="112" t="s">
        <v>170</v>
      </c>
      <c r="P28" s="112" t="s">
        <v>230</v>
      </c>
      <c r="Q28" s="123">
        <v>10000</v>
      </c>
      <c r="R28" s="112" t="s">
        <v>374</v>
      </c>
      <c r="S28" s="116">
        <v>7986</v>
      </c>
      <c r="T28" s="116">
        <v>7986</v>
      </c>
      <c r="U28" s="116">
        <v>7986</v>
      </c>
      <c r="V28" s="116">
        <v>7986</v>
      </c>
      <c r="W28" s="116">
        <v>7986</v>
      </c>
      <c r="X28" s="116"/>
      <c r="Y28" s="116"/>
      <c r="Z28" s="116"/>
      <c r="AA28" s="116"/>
      <c r="AB28" s="116"/>
      <c r="AC28" s="116"/>
      <c r="AD28" s="116"/>
      <c r="AE28" s="116">
        <f>SUM(S28:AD28)</f>
        <v>39930</v>
      </c>
      <c r="AF28" s="97" t="s">
        <v>236</v>
      </c>
    </row>
    <row r="29" spans="1:32" ht="34.9" customHeight="1" x14ac:dyDescent="0.55000000000000004">
      <c r="A29" s="112">
        <f>+A28+1</f>
        <v>7</v>
      </c>
      <c r="B29" s="112">
        <v>24560</v>
      </c>
      <c r="C29" s="112">
        <v>4606</v>
      </c>
      <c r="D29" s="112">
        <v>4102</v>
      </c>
      <c r="E29" s="112" t="s">
        <v>142</v>
      </c>
      <c r="F29" s="114" t="s">
        <v>162</v>
      </c>
      <c r="G29" s="114" t="s">
        <v>148</v>
      </c>
      <c r="H29" s="115" t="s">
        <v>68</v>
      </c>
      <c r="I29" s="114">
        <v>0</v>
      </c>
      <c r="J29" s="114">
        <v>0</v>
      </c>
      <c r="K29" s="120">
        <v>20</v>
      </c>
      <c r="L29" s="110">
        <f t="shared" si="4"/>
        <v>20</v>
      </c>
      <c r="M29" s="117" t="s">
        <v>214</v>
      </c>
      <c r="N29" s="134" t="s">
        <v>172</v>
      </c>
      <c r="O29" s="415" t="s">
        <v>171</v>
      </c>
      <c r="P29" s="415"/>
      <c r="Q29" s="407">
        <v>60000</v>
      </c>
      <c r="R29" s="415" t="s">
        <v>374</v>
      </c>
      <c r="S29" s="386">
        <v>60000</v>
      </c>
      <c r="T29" s="386">
        <v>60000</v>
      </c>
      <c r="U29" s="386">
        <v>60000</v>
      </c>
      <c r="V29" s="386">
        <v>60000</v>
      </c>
      <c r="W29" s="386">
        <v>60000</v>
      </c>
      <c r="X29" s="402"/>
      <c r="Y29" s="402"/>
      <c r="Z29" s="402"/>
      <c r="AA29" s="402"/>
      <c r="AB29" s="402"/>
      <c r="AC29" s="402"/>
      <c r="AD29" s="402"/>
      <c r="AE29" s="408">
        <f>SUM(S29:AD30)</f>
        <v>300000</v>
      </c>
      <c r="AF29" s="400" t="s">
        <v>236</v>
      </c>
    </row>
    <row r="30" spans="1:32" ht="34.9" customHeight="1" x14ac:dyDescent="0.55000000000000004">
      <c r="A30" s="112">
        <f>+A29+1</f>
        <v>8</v>
      </c>
      <c r="B30" s="112">
        <v>24559</v>
      </c>
      <c r="C30" s="112">
        <v>4605</v>
      </c>
      <c r="D30" s="112">
        <v>4101</v>
      </c>
      <c r="E30" s="112" t="s">
        <v>142</v>
      </c>
      <c r="F30" s="114" t="s">
        <v>162</v>
      </c>
      <c r="G30" s="114" t="s">
        <v>148</v>
      </c>
      <c r="H30" s="115" t="s">
        <v>65</v>
      </c>
      <c r="I30" s="114">
        <v>0</v>
      </c>
      <c r="J30" s="114">
        <v>0</v>
      </c>
      <c r="K30" s="120">
        <v>49</v>
      </c>
      <c r="L30" s="110">
        <f t="shared" si="4"/>
        <v>49</v>
      </c>
      <c r="M30" s="117" t="s">
        <v>215</v>
      </c>
      <c r="N30" s="135" t="s">
        <v>157</v>
      </c>
      <c r="O30" s="415"/>
      <c r="P30" s="415"/>
      <c r="Q30" s="407"/>
      <c r="R30" s="415"/>
      <c r="S30" s="387"/>
      <c r="T30" s="387"/>
      <c r="U30" s="387"/>
      <c r="V30" s="387"/>
      <c r="W30" s="387"/>
      <c r="X30" s="403"/>
      <c r="Y30" s="403"/>
      <c r="Z30" s="403"/>
      <c r="AA30" s="403"/>
      <c r="AB30" s="403"/>
      <c r="AC30" s="403"/>
      <c r="AD30" s="403"/>
      <c r="AE30" s="408"/>
      <c r="AF30" s="400"/>
    </row>
    <row r="31" spans="1:32" ht="34.9" customHeight="1" thickBot="1" x14ac:dyDescent="0.6">
      <c r="A31" s="404" t="s">
        <v>28</v>
      </c>
      <c r="B31" s="405"/>
      <c r="C31" s="405"/>
      <c r="D31" s="405"/>
      <c r="E31" s="405"/>
      <c r="F31" s="405"/>
      <c r="G31" s="405"/>
      <c r="H31" s="405"/>
      <c r="I31" s="405"/>
      <c r="J31" s="405"/>
      <c r="K31" s="405"/>
      <c r="L31" s="405"/>
      <c r="M31" s="405"/>
      <c r="N31" s="405"/>
      <c r="O31" s="405"/>
      <c r="P31" s="405"/>
      <c r="Q31" s="405"/>
      <c r="R31" s="406"/>
      <c r="S31" s="129">
        <f t="shared" ref="S31:AE31" si="5">SUM(S23:S30)</f>
        <v>139320</v>
      </c>
      <c r="T31" s="129">
        <f t="shared" si="5"/>
        <v>139320</v>
      </c>
      <c r="U31" s="129">
        <f t="shared" si="5"/>
        <v>139320</v>
      </c>
      <c r="V31" s="129">
        <f t="shared" si="5"/>
        <v>139320</v>
      </c>
      <c r="W31" s="129">
        <f>SUM(W23:W30)</f>
        <v>132820</v>
      </c>
      <c r="X31" s="129">
        <f t="shared" si="5"/>
        <v>0</v>
      </c>
      <c r="Y31" s="129">
        <f>SUM(Y23:Y30)</f>
        <v>0</v>
      </c>
      <c r="Z31" s="129">
        <f>SUM(Z23:Z30)</f>
        <v>0</v>
      </c>
      <c r="AA31" s="129">
        <f t="shared" si="5"/>
        <v>0</v>
      </c>
      <c r="AB31" s="129">
        <f t="shared" si="5"/>
        <v>0</v>
      </c>
      <c r="AC31" s="129">
        <f t="shared" si="5"/>
        <v>0</v>
      </c>
      <c r="AD31" s="129">
        <f>SUM(AD23:AD30)</f>
        <v>0</v>
      </c>
      <c r="AE31" s="129">
        <f t="shared" si="5"/>
        <v>690100</v>
      </c>
      <c r="AF31" s="96"/>
    </row>
    <row r="32" spans="1:32" ht="34.9" customHeight="1" x14ac:dyDescent="0.55000000000000004">
      <c r="A32" s="409" t="s">
        <v>144</v>
      </c>
      <c r="B32" s="410"/>
      <c r="C32" s="410"/>
      <c r="D32" s="410"/>
      <c r="E32" s="410"/>
      <c r="F32" s="410"/>
      <c r="G32" s="410"/>
      <c r="H32" s="410"/>
      <c r="I32" s="410"/>
      <c r="J32" s="410"/>
      <c r="K32" s="410"/>
      <c r="L32" s="410"/>
      <c r="M32" s="410"/>
      <c r="N32" s="410"/>
      <c r="O32" s="410"/>
      <c r="P32" s="410"/>
      <c r="Q32" s="410"/>
      <c r="R32" s="410"/>
      <c r="S32" s="410"/>
      <c r="T32" s="410"/>
      <c r="U32" s="410"/>
      <c r="V32" s="410"/>
      <c r="W32" s="410"/>
      <c r="X32" s="410"/>
      <c r="Y32" s="410"/>
      <c r="Z32" s="410"/>
      <c r="AA32" s="410"/>
      <c r="AB32" s="410"/>
      <c r="AC32" s="410"/>
      <c r="AD32" s="410"/>
      <c r="AE32" s="410"/>
      <c r="AF32" s="411"/>
    </row>
    <row r="33" spans="1:33" ht="34.9" customHeight="1" x14ac:dyDescent="0.55000000000000004">
      <c r="A33" s="421" t="s">
        <v>184</v>
      </c>
      <c r="B33" s="422"/>
      <c r="C33" s="422"/>
      <c r="D33" s="422"/>
      <c r="E33" s="422"/>
      <c r="F33" s="422"/>
      <c r="G33" s="423"/>
      <c r="H33" s="136"/>
      <c r="I33" s="136"/>
      <c r="J33" s="136"/>
      <c r="K33" s="136"/>
      <c r="L33" s="136"/>
      <c r="M33" s="136"/>
      <c r="N33" s="136"/>
      <c r="O33" s="137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68"/>
    </row>
    <row r="34" spans="1:33" ht="34.9" customHeight="1" x14ac:dyDescent="0.55000000000000004">
      <c r="A34" s="112">
        <v>1</v>
      </c>
      <c r="B34" s="112" t="s">
        <v>193</v>
      </c>
      <c r="C34" s="112">
        <v>95</v>
      </c>
      <c r="D34" s="112">
        <v>33</v>
      </c>
      <c r="E34" s="112" t="s">
        <v>185</v>
      </c>
      <c r="F34" s="114" t="s">
        <v>186</v>
      </c>
      <c r="G34" s="138" t="s">
        <v>187</v>
      </c>
      <c r="H34" s="115" t="s">
        <v>65</v>
      </c>
      <c r="I34" s="114">
        <v>9</v>
      </c>
      <c r="J34" s="114">
        <v>2</v>
      </c>
      <c r="K34" s="120">
        <v>58</v>
      </c>
      <c r="L34" s="110">
        <f t="shared" ref="L34" si="6">+I34*400+J34*100+K34</f>
        <v>3858</v>
      </c>
      <c r="M34" s="106" t="s">
        <v>188</v>
      </c>
      <c r="N34" s="111" t="s">
        <v>189</v>
      </c>
      <c r="O34" s="106"/>
      <c r="P34" s="106" t="s">
        <v>232</v>
      </c>
      <c r="Q34" s="113"/>
      <c r="R34" s="112" t="s">
        <v>373</v>
      </c>
      <c r="S34" s="139">
        <v>400</v>
      </c>
      <c r="T34" s="139">
        <v>400</v>
      </c>
      <c r="U34" s="139">
        <v>400</v>
      </c>
      <c r="V34" s="139">
        <v>400</v>
      </c>
      <c r="W34" s="139">
        <v>400</v>
      </c>
      <c r="X34" s="139">
        <v>400</v>
      </c>
      <c r="Y34" s="139">
        <v>400</v>
      </c>
      <c r="Z34" s="139">
        <v>400</v>
      </c>
      <c r="AA34" s="139">
        <v>400</v>
      </c>
      <c r="AB34" s="139">
        <v>400</v>
      </c>
      <c r="AC34" s="139">
        <v>400</v>
      </c>
      <c r="AD34" s="139">
        <v>400</v>
      </c>
      <c r="AE34" s="139">
        <f>SUM(S34:AD34)</f>
        <v>4800</v>
      </c>
      <c r="AF34" s="95" t="s">
        <v>300</v>
      </c>
    </row>
    <row r="35" spans="1:33" ht="34.9" customHeight="1" x14ac:dyDescent="0.55000000000000004">
      <c r="A35" s="421" t="s">
        <v>190</v>
      </c>
      <c r="B35" s="422"/>
      <c r="C35" s="422"/>
      <c r="D35" s="422"/>
      <c r="E35" s="422"/>
      <c r="F35" s="422"/>
      <c r="G35" s="423"/>
      <c r="H35" s="140"/>
      <c r="I35" s="140"/>
      <c r="J35" s="140"/>
      <c r="K35" s="140"/>
      <c r="L35" s="140"/>
      <c r="M35" s="140"/>
      <c r="N35" s="140"/>
      <c r="O35" s="141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72"/>
    </row>
    <row r="36" spans="1:33" ht="34.9" customHeight="1" x14ac:dyDescent="0.55000000000000004">
      <c r="A36" s="142">
        <v>1</v>
      </c>
      <c r="B36" s="112">
        <v>29913</v>
      </c>
      <c r="C36" s="112">
        <v>83</v>
      </c>
      <c r="D36" s="112">
        <v>261</v>
      </c>
      <c r="E36" s="112" t="s">
        <v>191</v>
      </c>
      <c r="F36" s="114" t="s">
        <v>146</v>
      </c>
      <c r="G36" s="138" t="s">
        <v>190</v>
      </c>
      <c r="H36" s="115" t="s">
        <v>113</v>
      </c>
      <c r="I36" s="114">
        <v>7</v>
      </c>
      <c r="J36" s="114">
        <v>1</v>
      </c>
      <c r="K36" s="120">
        <v>85.8</v>
      </c>
      <c r="L36" s="110">
        <f t="shared" ref="L36" si="7">+I36*400+J36*100+K36</f>
        <v>2985.8</v>
      </c>
      <c r="M36" s="143" t="s">
        <v>196</v>
      </c>
      <c r="N36" s="118" t="s">
        <v>192</v>
      </c>
      <c r="O36" s="112" t="s">
        <v>178</v>
      </c>
      <c r="P36" s="112" t="s">
        <v>221</v>
      </c>
      <c r="Q36" s="121"/>
      <c r="R36" s="112" t="s">
        <v>373</v>
      </c>
      <c r="S36" s="139">
        <v>1500</v>
      </c>
      <c r="T36" s="139">
        <v>1500</v>
      </c>
      <c r="U36" s="139">
        <v>1500</v>
      </c>
      <c r="V36" s="139">
        <v>1500</v>
      </c>
      <c r="W36" s="139">
        <v>1500</v>
      </c>
      <c r="X36" s="139">
        <v>1500</v>
      </c>
      <c r="Y36" s="139"/>
      <c r="Z36" s="139"/>
      <c r="AA36" s="139"/>
      <c r="AB36" s="139"/>
      <c r="AC36" s="139"/>
      <c r="AD36" s="139"/>
      <c r="AE36" s="144">
        <f>SUM(S36:AD36)</f>
        <v>9000</v>
      </c>
      <c r="AF36" s="95" t="s">
        <v>299</v>
      </c>
    </row>
    <row r="37" spans="1:33" ht="34.9" customHeight="1" x14ac:dyDescent="0.55000000000000004">
      <c r="A37" s="421" t="s">
        <v>168</v>
      </c>
      <c r="B37" s="422"/>
      <c r="C37" s="422"/>
      <c r="D37" s="422"/>
      <c r="E37" s="422"/>
      <c r="F37" s="422"/>
      <c r="G37" s="423"/>
      <c r="H37" s="140"/>
      <c r="I37" s="140"/>
      <c r="J37" s="140"/>
      <c r="K37" s="145"/>
      <c r="L37" s="140"/>
      <c r="M37" s="141"/>
      <c r="N37" s="146"/>
      <c r="O37" s="141"/>
      <c r="P37" s="141"/>
      <c r="Q37" s="147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72"/>
    </row>
    <row r="38" spans="1:33" ht="34.9" customHeight="1" x14ac:dyDescent="0.55000000000000004">
      <c r="A38" s="142">
        <v>1</v>
      </c>
      <c r="B38" s="112" t="s">
        <v>145</v>
      </c>
      <c r="C38" s="112">
        <v>4</v>
      </c>
      <c r="D38" s="112">
        <v>71</v>
      </c>
      <c r="E38" s="112"/>
      <c r="F38" s="114" t="s">
        <v>146</v>
      </c>
      <c r="G38" s="138" t="s">
        <v>168</v>
      </c>
      <c r="H38" s="115" t="s">
        <v>113</v>
      </c>
      <c r="I38" s="114">
        <v>11</v>
      </c>
      <c r="J38" s="114">
        <v>2</v>
      </c>
      <c r="K38" s="120">
        <v>0</v>
      </c>
      <c r="L38" s="110">
        <f t="shared" ref="L38:L41" si="8">+I38*400+J38*100+K38</f>
        <v>4600</v>
      </c>
      <c r="M38" s="112" t="s">
        <v>151</v>
      </c>
      <c r="N38" s="118" t="s">
        <v>152</v>
      </c>
      <c r="O38" s="112" t="s">
        <v>178</v>
      </c>
      <c r="P38" s="112" t="s">
        <v>222</v>
      </c>
      <c r="Q38" s="112"/>
      <c r="R38" s="112" t="s">
        <v>373</v>
      </c>
      <c r="S38" s="148">
        <v>600</v>
      </c>
      <c r="T38" s="148">
        <v>600</v>
      </c>
      <c r="U38" s="148">
        <v>600</v>
      </c>
      <c r="V38" s="148">
        <v>600</v>
      </c>
      <c r="W38" s="148">
        <v>600</v>
      </c>
      <c r="X38" s="148">
        <v>600</v>
      </c>
      <c r="Y38" s="148"/>
      <c r="Z38" s="148"/>
      <c r="AA38" s="148"/>
      <c r="AB38" s="148"/>
      <c r="AC38" s="148"/>
      <c r="AD38" s="148"/>
      <c r="AE38" s="148">
        <f>SUM(S38:AD38)</f>
        <v>3600</v>
      </c>
      <c r="AF38" s="95" t="s">
        <v>299</v>
      </c>
    </row>
    <row r="39" spans="1:33" ht="34.9" hidden="1" customHeight="1" x14ac:dyDescent="0.55000000000000004">
      <c r="A39" s="409" t="s">
        <v>160</v>
      </c>
      <c r="B39" s="410"/>
      <c r="C39" s="410"/>
      <c r="D39" s="410"/>
      <c r="E39" s="410"/>
      <c r="F39" s="410"/>
      <c r="G39" s="410"/>
      <c r="H39" s="410"/>
      <c r="I39" s="410"/>
      <c r="J39" s="410"/>
      <c r="K39" s="410"/>
      <c r="L39" s="410"/>
      <c r="M39" s="410"/>
      <c r="N39" s="410"/>
      <c r="O39" s="410"/>
      <c r="P39" s="410"/>
      <c r="Q39" s="410"/>
      <c r="R39" s="410"/>
      <c r="S39" s="410"/>
      <c r="T39" s="410"/>
      <c r="U39" s="410"/>
      <c r="V39" s="410"/>
      <c r="W39" s="410"/>
      <c r="X39" s="410"/>
      <c r="Y39" s="410"/>
      <c r="Z39" s="410"/>
      <c r="AA39" s="410"/>
      <c r="AB39" s="410"/>
      <c r="AC39" s="410"/>
      <c r="AD39" s="410"/>
      <c r="AE39" s="410"/>
      <c r="AF39" s="411"/>
    </row>
    <row r="40" spans="1:33" ht="34.9" hidden="1" customHeight="1" x14ac:dyDescent="0.55000000000000004">
      <c r="A40" s="112">
        <v>1</v>
      </c>
      <c r="B40" s="112">
        <v>24265</v>
      </c>
      <c r="C40" s="112">
        <v>515</v>
      </c>
      <c r="D40" s="112">
        <v>65</v>
      </c>
      <c r="E40" s="112" t="s">
        <v>135</v>
      </c>
      <c r="F40" s="114" t="s">
        <v>134</v>
      </c>
      <c r="G40" s="114" t="s">
        <v>136</v>
      </c>
      <c r="H40" s="115" t="s">
        <v>137</v>
      </c>
      <c r="I40" s="114">
        <v>7</v>
      </c>
      <c r="J40" s="114">
        <v>2</v>
      </c>
      <c r="K40" s="120">
        <v>52.1</v>
      </c>
      <c r="L40" s="110">
        <f t="shared" si="8"/>
        <v>3052.1</v>
      </c>
      <c r="M40" s="426" t="s">
        <v>286</v>
      </c>
      <c r="N40" s="428" t="s">
        <v>288</v>
      </c>
      <c r="O40" s="149"/>
      <c r="P40" s="112"/>
      <c r="Q40" s="121"/>
      <c r="R40" s="426" t="s">
        <v>305</v>
      </c>
      <c r="S40" s="424"/>
      <c r="T40" s="424"/>
      <c r="U40" s="424"/>
      <c r="V40" s="424"/>
      <c r="W40" s="424"/>
      <c r="X40" s="424"/>
      <c r="Y40" s="424"/>
      <c r="Z40" s="424"/>
      <c r="AA40" s="424"/>
      <c r="AB40" s="424"/>
      <c r="AC40" s="150"/>
      <c r="AD40" s="150"/>
      <c r="AE40" s="424">
        <f>SUM(S40:AD41)</f>
        <v>0</v>
      </c>
      <c r="AF40" s="430" t="s">
        <v>287</v>
      </c>
    </row>
    <row r="41" spans="1:33" ht="34.9" hidden="1" customHeight="1" x14ac:dyDescent="0.55000000000000004">
      <c r="A41" s="151">
        <v>2</v>
      </c>
      <c r="B41" s="151">
        <v>28655</v>
      </c>
      <c r="C41" s="151">
        <v>517</v>
      </c>
      <c r="D41" s="151">
        <v>143</v>
      </c>
      <c r="E41" s="151" t="s">
        <v>135</v>
      </c>
      <c r="F41" s="152" t="s">
        <v>134</v>
      </c>
      <c r="G41" s="152" t="s">
        <v>136</v>
      </c>
      <c r="H41" s="153" t="s">
        <v>137</v>
      </c>
      <c r="I41" s="152">
        <v>1</v>
      </c>
      <c r="J41" s="152">
        <v>1</v>
      </c>
      <c r="K41" s="154">
        <v>44.9</v>
      </c>
      <c r="L41" s="154">
        <f t="shared" si="8"/>
        <v>544.9</v>
      </c>
      <c r="M41" s="427"/>
      <c r="N41" s="429"/>
      <c r="O41" s="155"/>
      <c r="P41" s="151"/>
      <c r="Q41" s="156"/>
      <c r="R41" s="427"/>
      <c r="S41" s="425"/>
      <c r="T41" s="425"/>
      <c r="U41" s="425"/>
      <c r="V41" s="425"/>
      <c r="W41" s="425"/>
      <c r="X41" s="425"/>
      <c r="Y41" s="425"/>
      <c r="Z41" s="425"/>
      <c r="AA41" s="425"/>
      <c r="AB41" s="425"/>
      <c r="AC41" s="157"/>
      <c r="AD41" s="157"/>
      <c r="AE41" s="425"/>
      <c r="AF41" s="431"/>
    </row>
    <row r="42" spans="1:33" ht="41.45" customHeight="1" thickBot="1" x14ac:dyDescent="0.6">
      <c r="A42" s="418" t="s">
        <v>22</v>
      </c>
      <c r="B42" s="419"/>
      <c r="C42" s="419"/>
      <c r="D42" s="419"/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20"/>
      <c r="S42" s="158">
        <f>+S40+S38+S36+S34+S31+S21</f>
        <v>267022</v>
      </c>
      <c r="T42" s="158">
        <f>+T38+T36+T34+T31+T21+T40</f>
        <v>265414</v>
      </c>
      <c r="U42" s="158">
        <f t="shared" ref="U42:W42" si="9">+U38+U36+U34+U31+U21+U40</f>
        <v>263606</v>
      </c>
      <c r="V42" s="158">
        <f t="shared" si="9"/>
        <v>267310</v>
      </c>
      <c r="W42" s="158">
        <f t="shared" si="9"/>
        <v>261386</v>
      </c>
      <c r="X42" s="158">
        <f t="shared" ref="X42:AE42" si="10">+X38+X36+X34+X31+X21+X6+X40</f>
        <v>48500</v>
      </c>
      <c r="Y42" s="158">
        <f t="shared" si="10"/>
        <v>40400</v>
      </c>
      <c r="Z42" s="158">
        <f t="shared" si="10"/>
        <v>40400</v>
      </c>
      <c r="AA42" s="158">
        <f>+AA38+AA36+AA34+AA31+AA21+AA6+AA40</f>
        <v>40400</v>
      </c>
      <c r="AB42" s="158">
        <f t="shared" si="10"/>
        <v>40400</v>
      </c>
      <c r="AC42" s="158">
        <f t="shared" si="10"/>
        <v>400</v>
      </c>
      <c r="AD42" s="158">
        <f>+AD38+AD36+AD34+AD31+AD21+AD6+AD40</f>
        <v>400</v>
      </c>
      <c r="AE42" s="158">
        <f t="shared" si="10"/>
        <v>1535638</v>
      </c>
      <c r="AF42" s="98"/>
    </row>
    <row r="43" spans="1:33" ht="34.9" customHeight="1" thickTop="1" x14ac:dyDescent="0.55000000000000004"/>
    <row r="44" spans="1:33" ht="34.9" customHeight="1" x14ac:dyDescent="0.55000000000000004">
      <c r="AE44" s="160">
        <f>SUM(S42:AD42)-AE42</f>
        <v>0</v>
      </c>
    </row>
    <row r="46" spans="1:33" s="159" customFormat="1" ht="34.9" customHeight="1" x14ac:dyDescent="0.55000000000000004">
      <c r="A46" s="99"/>
      <c r="C46" s="99"/>
      <c r="D46" s="99"/>
      <c r="E46" s="99"/>
      <c r="F46" s="99"/>
      <c r="G46" s="99"/>
      <c r="H46" s="99"/>
      <c r="I46" s="99"/>
      <c r="J46" s="99"/>
      <c r="K46" s="160"/>
      <c r="L46" s="160"/>
      <c r="M46" s="99"/>
      <c r="N46" s="161"/>
      <c r="Q46" s="162"/>
      <c r="R46" s="99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92"/>
      <c r="AG46" s="99"/>
    </row>
    <row r="47" spans="1:33" s="159" customFormat="1" ht="34.9" customHeight="1" x14ac:dyDescent="0.55000000000000004">
      <c r="A47" s="99"/>
      <c r="C47" s="99"/>
      <c r="D47" s="99"/>
      <c r="E47" s="99"/>
      <c r="F47" s="99"/>
      <c r="G47" s="99"/>
      <c r="H47" s="99"/>
      <c r="I47" s="99"/>
      <c r="J47" s="99"/>
      <c r="K47" s="160"/>
      <c r="L47" s="160"/>
      <c r="Q47" s="162"/>
      <c r="R47" s="99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92"/>
      <c r="AG47" s="99"/>
    </row>
  </sheetData>
  <autoFilter ref="A4:AF42" xr:uid="{00000000-0009-0000-0000-000000000000}"/>
  <mergeCells count="83">
    <mergeCell ref="AA40:AA41"/>
    <mergeCell ref="AB40:AB41"/>
    <mergeCell ref="S40:S41"/>
    <mergeCell ref="T40:T41"/>
    <mergeCell ref="U40:U41"/>
    <mergeCell ref="A42:R42"/>
    <mergeCell ref="A32:AF32"/>
    <mergeCell ref="A37:G37"/>
    <mergeCell ref="A33:G33"/>
    <mergeCell ref="A35:G35"/>
    <mergeCell ref="V40:V41"/>
    <mergeCell ref="A39:AF39"/>
    <mergeCell ref="M40:M41"/>
    <mergeCell ref="N40:N41"/>
    <mergeCell ref="R40:R41"/>
    <mergeCell ref="W40:W41"/>
    <mergeCell ref="AF40:AF41"/>
    <mergeCell ref="X40:X41"/>
    <mergeCell ref="Y40:Y41"/>
    <mergeCell ref="AE40:AE41"/>
    <mergeCell ref="Z40:Z41"/>
    <mergeCell ref="A31:R31"/>
    <mergeCell ref="W29:W30"/>
    <mergeCell ref="X29:X30"/>
    <mergeCell ref="O24:O25"/>
    <mergeCell ref="Q24:Q25"/>
    <mergeCell ref="O29:O30"/>
    <mergeCell ref="P29:P30"/>
    <mergeCell ref="Q29:Q30"/>
    <mergeCell ref="R29:R30"/>
    <mergeCell ref="T29:T30"/>
    <mergeCell ref="U29:U30"/>
    <mergeCell ref="V29:V30"/>
    <mergeCell ref="P24:P25"/>
    <mergeCell ref="R24:R25"/>
    <mergeCell ref="S29:S30"/>
    <mergeCell ref="N24:N25"/>
    <mergeCell ref="Y29:Y30"/>
    <mergeCell ref="Z29:Z30"/>
    <mergeCell ref="R3:R4"/>
    <mergeCell ref="A21:R21"/>
    <mergeCell ref="AF29:AF30"/>
    <mergeCell ref="AE24:AE25"/>
    <mergeCell ref="AA29:AA30"/>
    <mergeCell ref="AB24:AB25"/>
    <mergeCell ref="AB29:AB30"/>
    <mergeCell ref="AA24:AA25"/>
    <mergeCell ref="AC29:AC30"/>
    <mergeCell ref="AD29:AD30"/>
    <mergeCell ref="AE29:AE30"/>
    <mergeCell ref="A5:AF5"/>
    <mergeCell ref="A9:AF9"/>
    <mergeCell ref="A22:AF22"/>
    <mergeCell ref="S24:S25"/>
    <mergeCell ref="T24:T25"/>
    <mergeCell ref="U24:U25"/>
    <mergeCell ref="Q3:Q4"/>
    <mergeCell ref="S3:AE3"/>
    <mergeCell ref="X24:X25"/>
    <mergeCell ref="V24:V25"/>
    <mergeCell ref="W24:W25"/>
    <mergeCell ref="AA23:AB23"/>
    <mergeCell ref="A7:AF7"/>
    <mergeCell ref="S8:AD8"/>
    <mergeCell ref="AF24:AF25"/>
    <mergeCell ref="Y24:Y25"/>
    <mergeCell ref="Z24:Z25"/>
    <mergeCell ref="AC24:AC25"/>
    <mergeCell ref="AD24:AD25"/>
    <mergeCell ref="A1:AF1"/>
    <mergeCell ref="A3:A4"/>
    <mergeCell ref="B3:B4"/>
    <mergeCell ref="C3:C4"/>
    <mergeCell ref="D3:D4"/>
    <mergeCell ref="E3:E4"/>
    <mergeCell ref="F3:F4"/>
    <mergeCell ref="G3:G4"/>
    <mergeCell ref="H3:H4"/>
    <mergeCell ref="I3:K3"/>
    <mergeCell ref="AF3:AF4"/>
    <mergeCell ref="M3:M4"/>
    <mergeCell ref="N3:N4"/>
    <mergeCell ref="O3:O4"/>
  </mergeCells>
  <phoneticPr fontId="2" type="noConversion"/>
  <pageMargins left="0.15748031496062992" right="0.19685039370078741" top="0.31496062992125984" bottom="0.27559055118110237" header="0.31496062992125984" footer="0.31496062992125984"/>
  <pageSetup paperSize="8" scale="48" orientation="landscape" r:id="rId1"/>
  <headerFooter>
    <oddHeader>&amp;Rหน้า &amp;P/&amp;N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92"/>
  <sheetViews>
    <sheetView tabSelected="1" zoomScale="80" zoomScaleNormal="80" workbookViewId="0">
      <pane ySplit="4" topLeftCell="A14" activePane="bottomLeft" state="frozen"/>
      <selection pane="bottomLeft" activeCell="K31" sqref="K31"/>
    </sheetView>
  </sheetViews>
  <sheetFormatPr defaultColWidth="8.25" defaultRowHeight="21" x14ac:dyDescent="0.45"/>
  <cols>
    <col min="1" max="1" width="7.75" style="7" customWidth="1"/>
    <col min="2" max="2" width="23" style="7" bestFit="1" customWidth="1"/>
    <col min="3" max="4" width="10.5" style="7" customWidth="1"/>
    <col min="5" max="5" width="12.875" style="9" customWidth="1"/>
    <col min="6" max="6" width="11.125" style="11" customWidth="1"/>
    <col min="7" max="7" width="12.125" style="11" customWidth="1"/>
    <col min="8" max="10" width="11.25" style="11" customWidth="1"/>
    <col min="11" max="11" width="9.875" style="11" customWidth="1"/>
    <col min="12" max="12" width="14.75" style="1" bestFit="1" customWidth="1"/>
    <col min="13" max="13" width="16.5" style="1" customWidth="1"/>
    <col min="14" max="15" width="12.75" style="1" customWidth="1"/>
    <col min="16" max="16384" width="8.25" style="1"/>
  </cols>
  <sheetData>
    <row r="1" spans="1:14" ht="23.25" x14ac:dyDescent="0.5">
      <c r="A1" s="432" t="s">
        <v>194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</row>
    <row r="2" spans="1:14" ht="23.25" x14ac:dyDescent="0.5">
      <c r="A2" s="432" t="s">
        <v>418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4" ht="9" customHeight="1" x14ac:dyDescent="0.45">
      <c r="A3" s="2"/>
      <c r="B3" s="2"/>
      <c r="C3" s="2"/>
      <c r="D3" s="2"/>
      <c r="E3" s="3"/>
      <c r="F3" s="4"/>
      <c r="G3" s="4"/>
      <c r="H3" s="4"/>
      <c r="I3" s="4"/>
      <c r="J3" s="4"/>
      <c r="K3" s="4"/>
    </row>
    <row r="4" spans="1:14" s="7" customFormat="1" ht="22.5" customHeight="1" x14ac:dyDescent="0.45">
      <c r="A4" s="5" t="s">
        <v>23</v>
      </c>
      <c r="B4" s="5" t="s">
        <v>24</v>
      </c>
      <c r="C4" s="5" t="s">
        <v>7</v>
      </c>
      <c r="D4" s="5" t="s">
        <v>51</v>
      </c>
      <c r="E4" s="6" t="s">
        <v>8</v>
      </c>
      <c r="F4" s="6" t="s">
        <v>26</v>
      </c>
      <c r="G4" s="6" t="s">
        <v>25</v>
      </c>
      <c r="H4" s="6" t="s">
        <v>27</v>
      </c>
      <c r="I4" s="6" t="s">
        <v>198</v>
      </c>
      <c r="J4" s="6" t="s">
        <v>179</v>
      </c>
      <c r="K4" s="6" t="s">
        <v>28</v>
      </c>
      <c r="L4" s="5" t="s">
        <v>48</v>
      </c>
    </row>
    <row r="5" spans="1:14" s="7" customFormat="1" ht="20.45" customHeight="1" x14ac:dyDescent="0.45">
      <c r="A5" s="12" t="s">
        <v>42</v>
      </c>
      <c r="B5" s="14" t="s">
        <v>258</v>
      </c>
      <c r="C5" s="14"/>
      <c r="D5" s="14"/>
      <c r="E5" s="15">
        <v>1200</v>
      </c>
      <c r="F5" s="15">
        <v>270</v>
      </c>
      <c r="G5" s="15">
        <v>1400</v>
      </c>
      <c r="H5" s="15">
        <v>25</v>
      </c>
      <c r="I5" s="15"/>
      <c r="J5" s="15"/>
      <c r="K5" s="15">
        <f>SUM(C5:J5)</f>
        <v>2895</v>
      </c>
      <c r="L5" s="69">
        <v>244483</v>
      </c>
      <c r="M5" s="71"/>
    </row>
    <row r="6" spans="1:14" s="7" customFormat="1" ht="20.45" customHeight="1" x14ac:dyDescent="0.45">
      <c r="A6" s="12" t="s">
        <v>44</v>
      </c>
      <c r="B6" s="19" t="s">
        <v>352</v>
      </c>
      <c r="C6" s="18"/>
      <c r="D6" s="14"/>
      <c r="E6" s="15">
        <v>1300</v>
      </c>
      <c r="F6" s="15">
        <v>54</v>
      </c>
      <c r="G6" s="15">
        <v>272</v>
      </c>
      <c r="H6" s="15">
        <v>25</v>
      </c>
      <c r="I6" s="15"/>
      <c r="J6" s="15"/>
      <c r="K6" s="15">
        <f>SUM(C6:J6)</f>
        <v>1651</v>
      </c>
      <c r="L6" s="69">
        <v>244479</v>
      </c>
      <c r="M6" s="71"/>
    </row>
    <row r="7" spans="1:14" s="7" customFormat="1" ht="20.45" customHeight="1" x14ac:dyDescent="0.45">
      <c r="A7" s="12" t="s">
        <v>37</v>
      </c>
      <c r="B7" s="19" t="s">
        <v>411</v>
      </c>
      <c r="C7" s="15"/>
      <c r="D7" s="14"/>
      <c r="E7" s="15">
        <v>1200</v>
      </c>
      <c r="F7" s="15">
        <v>90</v>
      </c>
      <c r="G7" s="15">
        <v>952</v>
      </c>
      <c r="H7" s="15">
        <v>25</v>
      </c>
      <c r="I7" s="15"/>
      <c r="J7" s="15"/>
      <c r="K7" s="15">
        <f t="shared" ref="K7:K20" si="0">SUM(C7:J7)</f>
        <v>2267</v>
      </c>
      <c r="L7" s="69">
        <v>244474</v>
      </c>
      <c r="M7" s="54"/>
    </row>
    <row r="8" spans="1:14" s="7" customFormat="1" ht="20.45" customHeight="1" x14ac:dyDescent="0.45">
      <c r="A8" s="12" t="s">
        <v>41</v>
      </c>
      <c r="B8" s="19" t="s">
        <v>366</v>
      </c>
      <c r="C8" s="15"/>
      <c r="D8" s="14"/>
      <c r="E8" s="15">
        <v>1300</v>
      </c>
      <c r="F8" s="15">
        <v>162</v>
      </c>
      <c r="G8" s="15">
        <v>5128</v>
      </c>
      <c r="H8" s="15">
        <v>25</v>
      </c>
      <c r="I8" s="15"/>
      <c r="J8" s="15"/>
      <c r="K8" s="15">
        <f t="shared" si="0"/>
        <v>6615</v>
      </c>
      <c r="L8" s="69">
        <v>244479</v>
      </c>
      <c r="M8" s="71"/>
    </row>
    <row r="9" spans="1:14" s="7" customFormat="1" ht="20.45" customHeight="1" x14ac:dyDescent="0.45">
      <c r="A9" s="12" t="s">
        <v>30</v>
      </c>
      <c r="B9" s="19" t="s">
        <v>348</v>
      </c>
      <c r="C9" s="186"/>
      <c r="D9" s="186"/>
      <c r="E9" s="15">
        <v>1300</v>
      </c>
      <c r="F9" s="15">
        <v>252</v>
      </c>
      <c r="G9" s="15">
        <v>456</v>
      </c>
      <c r="H9" s="15">
        <v>25</v>
      </c>
      <c r="I9" s="15"/>
      <c r="J9" s="15"/>
      <c r="K9" s="74">
        <f t="shared" si="0"/>
        <v>2033</v>
      </c>
      <c r="L9" s="69">
        <v>244471</v>
      </c>
      <c r="M9" s="71"/>
      <c r="N9" s="73"/>
    </row>
    <row r="10" spans="1:14" s="7" customFormat="1" ht="20.45" customHeight="1" x14ac:dyDescent="0.45">
      <c r="A10" s="8" t="s">
        <v>49</v>
      </c>
      <c r="B10" s="16" t="s">
        <v>197</v>
      </c>
      <c r="C10" s="367"/>
      <c r="D10" s="367"/>
      <c r="E10" s="15"/>
      <c r="F10" s="15"/>
      <c r="G10" s="15"/>
      <c r="H10" s="15"/>
      <c r="I10" s="15"/>
      <c r="J10" s="15"/>
      <c r="K10" s="15">
        <f t="shared" si="0"/>
        <v>0</v>
      </c>
      <c r="L10" s="69"/>
      <c r="M10" s="54"/>
    </row>
    <row r="11" spans="1:14" s="7" customFormat="1" ht="20.45" customHeight="1" x14ac:dyDescent="0.45">
      <c r="A11" s="13" t="s">
        <v>46</v>
      </c>
      <c r="B11" s="14" t="s">
        <v>45</v>
      </c>
      <c r="C11" s="14"/>
      <c r="D11" s="14"/>
      <c r="E11" s="15">
        <v>1200</v>
      </c>
      <c r="F11" s="15">
        <v>108</v>
      </c>
      <c r="G11" s="15">
        <v>192</v>
      </c>
      <c r="H11" s="15">
        <v>25</v>
      </c>
      <c r="I11" s="15"/>
      <c r="J11" s="15"/>
      <c r="K11" s="15">
        <f t="shared" si="0"/>
        <v>1525</v>
      </c>
      <c r="L11" s="69">
        <v>244479</v>
      </c>
      <c r="M11" s="54"/>
    </row>
    <row r="12" spans="1:14" s="7" customFormat="1" ht="20.45" customHeight="1" x14ac:dyDescent="0.5">
      <c r="A12" s="12" t="s">
        <v>40</v>
      </c>
      <c r="B12" s="91" t="s">
        <v>372</v>
      </c>
      <c r="C12" s="18"/>
      <c r="D12" s="14"/>
      <c r="E12" s="15">
        <v>1300</v>
      </c>
      <c r="F12" s="15">
        <v>54</v>
      </c>
      <c r="G12" s="15">
        <v>240</v>
      </c>
      <c r="H12" s="15">
        <v>25</v>
      </c>
      <c r="I12" s="15"/>
      <c r="J12" s="15"/>
      <c r="K12" s="15">
        <f t="shared" si="0"/>
        <v>1619</v>
      </c>
      <c r="L12" s="69">
        <v>244474</v>
      </c>
      <c r="M12" s="54"/>
    </row>
    <row r="13" spans="1:14" s="7" customFormat="1" ht="20.25" customHeight="1" x14ac:dyDescent="0.45">
      <c r="A13" s="12" t="s">
        <v>38</v>
      </c>
      <c r="B13" s="14" t="s">
        <v>420</v>
      </c>
      <c r="C13" s="18">
        <v>2600</v>
      </c>
      <c r="D13" s="14"/>
      <c r="E13" s="15">
        <v>1300</v>
      </c>
      <c r="F13" s="15"/>
      <c r="G13" s="15"/>
      <c r="H13" s="15"/>
      <c r="I13" s="15"/>
      <c r="J13" s="15"/>
      <c r="K13" s="15">
        <f t="shared" si="0"/>
        <v>3900</v>
      </c>
      <c r="L13" s="69">
        <v>244469</v>
      </c>
      <c r="M13" s="71"/>
    </row>
    <row r="14" spans="1:14" s="7" customFormat="1" ht="20.45" customHeight="1" x14ac:dyDescent="0.45">
      <c r="A14" s="12" t="s">
        <v>39</v>
      </c>
      <c r="B14" s="14" t="s">
        <v>413</v>
      </c>
      <c r="C14" s="367"/>
      <c r="D14" s="367"/>
      <c r="E14" s="15">
        <v>1300</v>
      </c>
      <c r="F14" s="15">
        <v>144</v>
      </c>
      <c r="G14" s="15">
        <v>408</v>
      </c>
      <c r="H14" s="15">
        <v>25</v>
      </c>
      <c r="I14" s="15"/>
      <c r="J14" s="15">
        <v>100</v>
      </c>
      <c r="K14" s="15">
        <f t="shared" si="0"/>
        <v>1977</v>
      </c>
      <c r="L14" s="69">
        <v>244480</v>
      </c>
      <c r="M14" s="71"/>
    </row>
    <row r="15" spans="1:14" s="7" customFormat="1" ht="20.45" customHeight="1" x14ac:dyDescent="0.45">
      <c r="A15" s="12" t="s">
        <v>34</v>
      </c>
      <c r="B15" s="14" t="s">
        <v>304</v>
      </c>
      <c r="C15" s="18"/>
      <c r="D15" s="14"/>
      <c r="E15" s="15">
        <v>1300</v>
      </c>
      <c r="F15" s="15">
        <v>108</v>
      </c>
      <c r="G15" s="15">
        <v>240</v>
      </c>
      <c r="H15" s="15">
        <v>25</v>
      </c>
      <c r="I15" s="15"/>
      <c r="J15" s="15"/>
      <c r="K15" s="15">
        <f t="shared" si="0"/>
        <v>1673</v>
      </c>
      <c r="L15" s="368">
        <v>244480</v>
      </c>
      <c r="M15" s="71"/>
    </row>
    <row r="16" spans="1:14" s="7" customFormat="1" ht="20.45" customHeight="1" x14ac:dyDescent="0.45">
      <c r="A16" s="12" t="s">
        <v>31</v>
      </c>
      <c r="B16" s="14" t="s">
        <v>50</v>
      </c>
      <c r="C16" s="14"/>
      <c r="D16" s="14"/>
      <c r="E16" s="15">
        <v>1200</v>
      </c>
      <c r="F16" s="15">
        <v>180</v>
      </c>
      <c r="G16" s="15">
        <v>640</v>
      </c>
      <c r="H16" s="15">
        <v>25</v>
      </c>
      <c r="I16" s="15"/>
      <c r="J16" s="15"/>
      <c r="K16" s="15">
        <f t="shared" si="0"/>
        <v>2045</v>
      </c>
      <c r="L16" s="69">
        <v>244480</v>
      </c>
    </row>
    <row r="17" spans="1:15" s="7" customFormat="1" ht="20.25" customHeight="1" x14ac:dyDescent="0.45">
      <c r="A17" s="12" t="s">
        <v>36</v>
      </c>
      <c r="B17" s="14" t="s">
        <v>35</v>
      </c>
      <c r="C17" s="14"/>
      <c r="D17" s="14"/>
      <c r="E17" s="15">
        <v>1200</v>
      </c>
      <c r="F17" s="15">
        <v>324</v>
      </c>
      <c r="G17" s="15">
        <v>1064</v>
      </c>
      <c r="H17" s="15">
        <v>25</v>
      </c>
      <c r="I17" s="15"/>
      <c r="J17" s="15"/>
      <c r="K17" s="15">
        <f t="shared" si="0"/>
        <v>2613</v>
      </c>
      <c r="L17" s="69">
        <v>244479</v>
      </c>
      <c r="O17" s="73"/>
    </row>
    <row r="18" spans="1:15" s="7" customFormat="1" ht="20.45" customHeight="1" x14ac:dyDescent="0.45">
      <c r="A18" s="12" t="s">
        <v>47</v>
      </c>
      <c r="B18" s="19" t="s">
        <v>292</v>
      </c>
      <c r="C18" s="18"/>
      <c r="D18" s="14"/>
      <c r="E18" s="15">
        <v>1300</v>
      </c>
      <c r="F18" s="15">
        <v>50</v>
      </c>
      <c r="G18" s="15">
        <v>224</v>
      </c>
      <c r="H18" s="15">
        <v>25</v>
      </c>
      <c r="I18" s="15"/>
      <c r="J18" s="15"/>
      <c r="K18" s="15">
        <f t="shared" si="0"/>
        <v>1599</v>
      </c>
      <c r="L18" s="69">
        <v>244477</v>
      </c>
      <c r="M18" s="54"/>
      <c r="O18" s="73"/>
    </row>
    <row r="19" spans="1:15" s="7" customFormat="1" ht="20.45" customHeight="1" x14ac:dyDescent="0.45">
      <c r="A19" s="12" t="s">
        <v>43</v>
      </c>
      <c r="B19" s="19" t="s">
        <v>283</v>
      </c>
      <c r="C19" s="18"/>
      <c r="D19" s="18"/>
      <c r="E19" s="15">
        <v>1200</v>
      </c>
      <c r="F19" s="15">
        <v>288</v>
      </c>
      <c r="G19" s="15">
        <v>552</v>
      </c>
      <c r="H19" s="15">
        <v>25</v>
      </c>
      <c r="I19" s="15"/>
      <c r="J19" s="15"/>
      <c r="K19" s="15">
        <f t="shared" si="0"/>
        <v>2065</v>
      </c>
      <c r="L19" s="69">
        <v>244477</v>
      </c>
      <c r="M19" s="351"/>
      <c r="O19" s="73"/>
    </row>
    <row r="20" spans="1:15" s="7" customFormat="1" ht="20.45" customHeight="1" x14ac:dyDescent="0.45">
      <c r="A20" s="12" t="s">
        <v>33</v>
      </c>
      <c r="B20" s="14" t="s">
        <v>32</v>
      </c>
      <c r="C20" s="14"/>
      <c r="D20" s="14"/>
      <c r="E20" s="15">
        <v>1200</v>
      </c>
      <c r="F20" s="15">
        <v>50</v>
      </c>
      <c r="G20" s="15">
        <v>536</v>
      </c>
      <c r="H20" s="15">
        <v>25</v>
      </c>
      <c r="I20" s="15"/>
      <c r="J20" s="15"/>
      <c r="K20" s="15">
        <f t="shared" si="0"/>
        <v>1811</v>
      </c>
      <c r="L20" s="369">
        <v>244476</v>
      </c>
      <c r="O20" s="73"/>
    </row>
    <row r="21" spans="1:15" s="7" customFormat="1" ht="22.15" customHeight="1" thickBot="1" x14ac:dyDescent="0.5">
      <c r="A21" s="433" t="s">
        <v>22</v>
      </c>
      <c r="B21" s="434"/>
      <c r="C21" s="10">
        <f t="shared" ref="C21:J21" si="1">SUM(C5:C20)</f>
        <v>2600</v>
      </c>
      <c r="D21" s="10">
        <f t="shared" si="1"/>
        <v>0</v>
      </c>
      <c r="E21" s="10">
        <f t="shared" si="1"/>
        <v>18800</v>
      </c>
      <c r="F21" s="10">
        <f t="shared" si="1"/>
        <v>2134</v>
      </c>
      <c r="G21" s="10">
        <f t="shared" si="1"/>
        <v>12304</v>
      </c>
      <c r="H21" s="10">
        <f t="shared" si="1"/>
        <v>350</v>
      </c>
      <c r="I21" s="10">
        <f t="shared" si="1"/>
        <v>0</v>
      </c>
      <c r="J21" s="10">
        <f t="shared" si="1"/>
        <v>100</v>
      </c>
      <c r="K21" s="10">
        <f>SUM(K5:K20)</f>
        <v>36288</v>
      </c>
    </row>
    <row r="22" spans="1:15" s="7" customFormat="1" ht="12.6" customHeight="1" thickTop="1" x14ac:dyDescent="0.45">
      <c r="E22" s="9"/>
      <c r="F22" s="11"/>
      <c r="G22" s="11"/>
      <c r="H22" s="11"/>
      <c r="I22" s="11"/>
      <c r="J22" s="11"/>
      <c r="K22" s="11"/>
    </row>
    <row r="23" spans="1:15" x14ac:dyDescent="0.45">
      <c r="B23" s="11"/>
      <c r="C23" s="11"/>
      <c r="D23" s="11"/>
      <c r="E23" s="11"/>
      <c r="F23" s="1"/>
      <c r="G23" s="1"/>
      <c r="H23" s="1"/>
      <c r="I23" s="1"/>
      <c r="J23" s="1"/>
      <c r="K23" s="17"/>
      <c r="L23" s="17"/>
    </row>
    <row r="24" spans="1:15" x14ac:dyDescent="0.45">
      <c r="B24" s="66" t="s">
        <v>195</v>
      </c>
      <c r="C24" s="66" t="s">
        <v>182</v>
      </c>
      <c r="D24" s="66" t="s">
        <v>183</v>
      </c>
      <c r="E24" s="7" t="s">
        <v>199</v>
      </c>
      <c r="F24" s="7" t="s">
        <v>370</v>
      </c>
      <c r="G24" s="66" t="s">
        <v>277</v>
      </c>
      <c r="H24" s="1"/>
      <c r="I24" s="1"/>
      <c r="J24" s="1"/>
      <c r="K24" s="17"/>
      <c r="M24" s="17"/>
    </row>
    <row r="25" spans="1:15" x14ac:dyDescent="0.45">
      <c r="B25" s="70" t="s">
        <v>220</v>
      </c>
      <c r="C25" s="203">
        <v>16</v>
      </c>
      <c r="D25" s="203">
        <v>14</v>
      </c>
      <c r="E25" s="203"/>
      <c r="F25" s="203">
        <v>1</v>
      </c>
      <c r="G25" s="203">
        <v>3</v>
      </c>
      <c r="H25" s="1" t="s">
        <v>389</v>
      </c>
      <c r="I25" s="1"/>
      <c r="J25" s="1"/>
      <c r="K25" s="1"/>
    </row>
    <row r="26" spans="1:15" x14ac:dyDescent="0.45">
      <c r="B26" s="70" t="s">
        <v>11</v>
      </c>
      <c r="C26" s="203">
        <v>16</v>
      </c>
      <c r="D26" s="203">
        <v>13</v>
      </c>
      <c r="E26" s="203"/>
      <c r="F26" s="203"/>
      <c r="G26" s="203">
        <v>3</v>
      </c>
      <c r="H26" s="1" t="s">
        <v>389</v>
      </c>
      <c r="I26" s="1"/>
      <c r="J26" s="1"/>
      <c r="K26" s="1"/>
    </row>
    <row r="27" spans="1:15" x14ac:dyDescent="0.45">
      <c r="B27" s="70" t="s">
        <v>12</v>
      </c>
      <c r="C27" s="203">
        <v>16</v>
      </c>
      <c r="D27" s="203">
        <v>13</v>
      </c>
      <c r="E27" s="203"/>
      <c r="F27" s="203"/>
      <c r="G27" s="203">
        <v>3</v>
      </c>
      <c r="H27" s="1" t="s">
        <v>389</v>
      </c>
      <c r="I27" s="1"/>
      <c r="J27" s="1"/>
      <c r="K27" s="1"/>
    </row>
    <row r="28" spans="1:15" x14ac:dyDescent="0.45">
      <c r="B28" s="70" t="s">
        <v>13</v>
      </c>
      <c r="C28" s="203">
        <v>16</v>
      </c>
      <c r="D28" s="203">
        <v>13</v>
      </c>
      <c r="E28" s="203">
        <v>1</v>
      </c>
      <c r="F28" s="203"/>
      <c r="G28" s="203">
        <v>2</v>
      </c>
      <c r="H28" s="1" t="s">
        <v>414</v>
      </c>
      <c r="I28" s="1"/>
      <c r="J28" s="1"/>
      <c r="K28" s="1"/>
    </row>
    <row r="29" spans="1:15" x14ac:dyDescent="0.45">
      <c r="B29" s="70" t="s">
        <v>14</v>
      </c>
      <c r="C29" s="67">
        <v>16</v>
      </c>
      <c r="D29" s="67">
        <v>14</v>
      </c>
      <c r="E29" s="67">
        <v>1</v>
      </c>
      <c r="F29" s="67"/>
      <c r="G29" s="67">
        <v>1</v>
      </c>
      <c r="H29" s="1" t="s">
        <v>419</v>
      </c>
      <c r="I29" s="1"/>
      <c r="J29" s="1"/>
      <c r="K29" s="1"/>
    </row>
    <row r="30" spans="1:15" x14ac:dyDescent="0.45">
      <c r="B30" s="70" t="s">
        <v>15</v>
      </c>
      <c r="C30" s="203"/>
      <c r="D30" s="203"/>
      <c r="E30" s="203"/>
      <c r="F30" s="203"/>
      <c r="G30" s="203">
        <v>1</v>
      </c>
      <c r="H30" s="207"/>
      <c r="I30" s="1"/>
      <c r="J30" s="1"/>
      <c r="K30" s="1"/>
    </row>
    <row r="31" spans="1:15" x14ac:dyDescent="0.45">
      <c r="B31" s="70" t="s">
        <v>16</v>
      </c>
      <c r="C31" s="203"/>
      <c r="D31" s="203"/>
      <c r="E31" s="203"/>
      <c r="F31" s="203"/>
      <c r="G31" s="203">
        <v>1</v>
      </c>
      <c r="H31" s="207"/>
      <c r="I31" s="1"/>
      <c r="J31" s="1"/>
      <c r="K31" s="1"/>
    </row>
    <row r="32" spans="1:15" x14ac:dyDescent="0.45">
      <c r="B32" s="70" t="s">
        <v>17</v>
      </c>
      <c r="C32" s="203"/>
      <c r="D32" s="203"/>
      <c r="E32" s="203"/>
      <c r="F32" s="203"/>
      <c r="G32" s="203">
        <v>1</v>
      </c>
      <c r="H32" s="207"/>
      <c r="I32" s="1"/>
      <c r="J32" s="1"/>
      <c r="K32" s="1"/>
    </row>
    <row r="33" spans="2:11" x14ac:dyDescent="0.45">
      <c r="B33" s="70" t="s">
        <v>18</v>
      </c>
      <c r="C33" s="203"/>
      <c r="D33" s="203"/>
      <c r="E33" s="203"/>
      <c r="F33" s="203"/>
      <c r="G33" s="203">
        <v>1</v>
      </c>
      <c r="H33" s="1"/>
      <c r="I33" s="1"/>
      <c r="J33" s="1"/>
      <c r="K33" s="1"/>
    </row>
    <row r="34" spans="2:11" x14ac:dyDescent="0.45">
      <c r="B34" s="70" t="s">
        <v>19</v>
      </c>
      <c r="C34" s="203"/>
      <c r="D34" s="203"/>
      <c r="E34" s="203"/>
      <c r="F34" s="203"/>
      <c r="G34" s="203">
        <v>1</v>
      </c>
      <c r="H34" s="207"/>
      <c r="I34" s="1"/>
      <c r="J34" s="1"/>
      <c r="K34" s="1"/>
    </row>
    <row r="35" spans="2:11" x14ac:dyDescent="0.45">
      <c r="B35" s="70" t="s">
        <v>20</v>
      </c>
      <c r="C35" s="203"/>
      <c r="D35" s="203"/>
      <c r="E35" s="203"/>
      <c r="F35" s="203"/>
      <c r="G35" s="203">
        <v>2</v>
      </c>
      <c r="H35" s="1"/>
      <c r="I35" s="1"/>
      <c r="J35" s="1"/>
      <c r="K35" s="1"/>
    </row>
    <row r="36" spans="2:11" x14ac:dyDescent="0.45">
      <c r="B36" s="70" t="s">
        <v>21</v>
      </c>
      <c r="C36" s="360"/>
      <c r="D36" s="360"/>
      <c r="E36" s="360"/>
      <c r="F36" s="360"/>
      <c r="G36" s="203">
        <v>2</v>
      </c>
      <c r="H36" s="1"/>
      <c r="I36" s="1"/>
      <c r="J36" s="1"/>
      <c r="K36" s="1"/>
    </row>
    <row r="37" spans="2:11" x14ac:dyDescent="0.45">
      <c r="B37" s="11"/>
      <c r="C37" s="11"/>
      <c r="D37" s="11"/>
      <c r="E37" s="11"/>
      <c r="F37" s="1"/>
      <c r="G37" s="1"/>
      <c r="H37" s="1"/>
      <c r="I37" s="1"/>
      <c r="J37" s="1"/>
      <c r="K37" s="1"/>
    </row>
    <row r="38" spans="2:11" x14ac:dyDescent="0.45">
      <c r="B38" s="11"/>
      <c r="C38" s="11"/>
      <c r="D38" s="11"/>
      <c r="E38" s="11"/>
      <c r="F38" s="1"/>
      <c r="G38" s="1"/>
      <c r="H38" s="1"/>
      <c r="I38" s="1"/>
      <c r="J38" s="1"/>
      <c r="K38" s="1"/>
    </row>
    <row r="39" spans="2:11" x14ac:dyDescent="0.45">
      <c r="B39" s="11"/>
      <c r="C39" s="11"/>
      <c r="D39" s="11"/>
      <c r="E39" s="11"/>
      <c r="F39" s="1"/>
      <c r="G39" s="1"/>
      <c r="H39" s="1"/>
      <c r="I39" s="1"/>
      <c r="J39" s="1"/>
      <c r="K39" s="1"/>
    </row>
    <row r="40" spans="2:11" x14ac:dyDescent="0.45">
      <c r="B40" s="11"/>
      <c r="C40" s="11"/>
      <c r="D40" s="11"/>
      <c r="E40" s="11"/>
      <c r="F40" s="1"/>
      <c r="G40" s="1"/>
      <c r="H40" s="1"/>
      <c r="I40" s="1"/>
      <c r="J40" s="1"/>
      <c r="K40" s="1"/>
    </row>
    <row r="41" spans="2:11" x14ac:dyDescent="0.45">
      <c r="B41" s="11"/>
      <c r="C41" s="11"/>
      <c r="D41" s="11"/>
      <c r="E41" s="11"/>
      <c r="F41" s="1"/>
      <c r="G41" s="1"/>
      <c r="H41" s="1"/>
      <c r="I41" s="1"/>
      <c r="J41" s="1"/>
      <c r="K41" s="1"/>
    </row>
    <row r="42" spans="2:11" x14ac:dyDescent="0.45">
      <c r="B42" s="11"/>
      <c r="C42" s="11"/>
      <c r="D42" s="11"/>
      <c r="E42" s="11"/>
      <c r="F42" s="1"/>
      <c r="G42" s="1"/>
      <c r="H42" s="1"/>
      <c r="I42" s="1"/>
      <c r="J42" s="1"/>
      <c r="K42" s="1"/>
    </row>
    <row r="43" spans="2:11" x14ac:dyDescent="0.45">
      <c r="B43" s="11"/>
      <c r="C43" s="11"/>
      <c r="D43" s="11"/>
      <c r="E43" s="11"/>
      <c r="F43" s="1"/>
      <c r="G43" s="1"/>
      <c r="H43" s="1"/>
      <c r="I43" s="1"/>
      <c r="J43" s="1"/>
      <c r="K43" s="1"/>
    </row>
    <row r="44" spans="2:11" x14ac:dyDescent="0.45">
      <c r="B44" s="11"/>
      <c r="C44" s="11"/>
      <c r="D44" s="11"/>
      <c r="E44" s="11"/>
      <c r="F44" s="1"/>
      <c r="G44" s="1"/>
      <c r="H44" s="1"/>
      <c r="I44" s="1"/>
      <c r="J44" s="1"/>
      <c r="K44" s="1"/>
    </row>
    <row r="45" spans="2:11" x14ac:dyDescent="0.45">
      <c r="B45" s="11"/>
      <c r="C45" s="11"/>
      <c r="D45" s="11"/>
      <c r="E45" s="11"/>
      <c r="F45" s="1"/>
      <c r="G45" s="1"/>
      <c r="H45" s="1"/>
      <c r="I45" s="1"/>
      <c r="J45" s="1"/>
      <c r="K45" s="1"/>
    </row>
    <row r="46" spans="2:11" x14ac:dyDescent="0.45">
      <c r="B46" s="11"/>
      <c r="C46" s="11"/>
      <c r="D46" s="11"/>
      <c r="E46" s="11"/>
      <c r="F46" s="1"/>
      <c r="G46" s="1"/>
      <c r="H46" s="1"/>
      <c r="I46" s="1"/>
      <c r="J46" s="1"/>
      <c r="K46" s="1"/>
    </row>
    <row r="47" spans="2:11" x14ac:dyDescent="0.45">
      <c r="B47" s="11"/>
      <c r="C47" s="11"/>
      <c r="D47" s="11"/>
      <c r="E47" s="11"/>
      <c r="F47" s="1"/>
      <c r="G47" s="1"/>
      <c r="H47" s="1"/>
      <c r="I47" s="1"/>
      <c r="J47" s="1"/>
      <c r="K47" s="1"/>
    </row>
    <row r="48" spans="2:11" x14ac:dyDescent="0.45">
      <c r="B48" s="11"/>
      <c r="C48" s="11"/>
      <c r="D48" s="11"/>
      <c r="E48" s="11"/>
      <c r="F48" s="1"/>
      <c r="G48" s="1"/>
      <c r="H48" s="1"/>
      <c r="I48" s="1"/>
      <c r="J48" s="1"/>
      <c r="K48" s="1"/>
    </row>
    <row r="49" spans="2:11" x14ac:dyDescent="0.45">
      <c r="B49" s="11"/>
      <c r="C49" s="11"/>
      <c r="D49" s="11"/>
      <c r="E49" s="11"/>
      <c r="F49" s="1"/>
      <c r="G49" s="1"/>
      <c r="H49" s="1"/>
      <c r="I49" s="1"/>
      <c r="J49" s="1"/>
      <c r="K49" s="1"/>
    </row>
    <row r="50" spans="2:11" x14ac:dyDescent="0.45">
      <c r="B50" s="11"/>
      <c r="C50" s="11"/>
      <c r="D50" s="11"/>
      <c r="E50" s="11"/>
      <c r="F50" s="1"/>
      <c r="G50" s="1"/>
      <c r="H50" s="1"/>
      <c r="I50" s="1"/>
      <c r="J50" s="1"/>
      <c r="K50" s="1"/>
    </row>
    <row r="51" spans="2:11" x14ac:dyDescent="0.45">
      <c r="B51" s="11"/>
      <c r="C51" s="11"/>
      <c r="D51" s="11"/>
      <c r="E51" s="11"/>
      <c r="F51" s="1"/>
      <c r="G51" s="1"/>
      <c r="H51" s="1"/>
      <c r="I51" s="1"/>
      <c r="J51" s="1"/>
      <c r="K51" s="1"/>
    </row>
    <row r="52" spans="2:11" x14ac:dyDescent="0.45">
      <c r="B52" s="11"/>
      <c r="C52" s="11"/>
      <c r="D52" s="11"/>
      <c r="E52" s="11"/>
      <c r="F52" s="1"/>
      <c r="G52" s="1"/>
      <c r="H52" s="1"/>
      <c r="I52" s="1"/>
      <c r="J52" s="1"/>
      <c r="K52" s="1"/>
    </row>
    <row r="53" spans="2:11" x14ac:dyDescent="0.45">
      <c r="B53" s="11"/>
      <c r="C53" s="11"/>
      <c r="D53" s="11"/>
      <c r="E53" s="11"/>
      <c r="F53" s="1"/>
      <c r="G53" s="1"/>
      <c r="H53" s="1"/>
      <c r="I53" s="1"/>
      <c r="J53" s="1"/>
      <c r="K53" s="1"/>
    </row>
    <row r="54" spans="2:11" x14ac:dyDescent="0.45">
      <c r="B54" s="11"/>
      <c r="C54" s="11"/>
      <c r="D54" s="11"/>
      <c r="E54" s="11"/>
      <c r="F54" s="1"/>
      <c r="G54" s="1"/>
      <c r="H54" s="1"/>
      <c r="I54" s="1"/>
      <c r="J54" s="1"/>
      <c r="K54" s="1"/>
    </row>
    <row r="55" spans="2:11" x14ac:dyDescent="0.45">
      <c r="B55" s="11"/>
      <c r="C55" s="11"/>
      <c r="D55" s="11"/>
      <c r="E55" s="11"/>
      <c r="F55" s="1"/>
      <c r="G55" s="1"/>
      <c r="H55" s="1"/>
      <c r="I55" s="1"/>
      <c r="J55" s="1"/>
      <c r="K55" s="1"/>
    </row>
    <row r="56" spans="2:11" x14ac:dyDescent="0.45">
      <c r="B56" s="11"/>
      <c r="C56" s="11"/>
      <c r="D56" s="11"/>
      <c r="E56" s="11"/>
      <c r="F56" s="1"/>
      <c r="G56" s="1"/>
      <c r="H56" s="1"/>
      <c r="I56" s="1"/>
      <c r="J56" s="1"/>
      <c r="K56" s="1"/>
    </row>
    <row r="57" spans="2:11" x14ac:dyDescent="0.45">
      <c r="B57" s="11"/>
      <c r="C57" s="11"/>
      <c r="D57" s="11"/>
      <c r="E57" s="11"/>
      <c r="F57" s="1"/>
      <c r="G57" s="1"/>
      <c r="H57" s="1"/>
      <c r="I57" s="1"/>
      <c r="J57" s="1"/>
      <c r="K57" s="1"/>
    </row>
    <row r="58" spans="2:11" x14ac:dyDescent="0.45">
      <c r="B58" s="11"/>
      <c r="C58" s="11"/>
      <c r="D58" s="11"/>
      <c r="E58" s="11"/>
      <c r="F58" s="1"/>
      <c r="G58" s="1"/>
      <c r="H58" s="1"/>
      <c r="I58" s="1"/>
      <c r="J58" s="1"/>
      <c r="K58" s="1"/>
    </row>
    <row r="59" spans="2:11" x14ac:dyDescent="0.45">
      <c r="B59" s="11"/>
      <c r="C59" s="11"/>
      <c r="D59" s="11"/>
      <c r="E59" s="11"/>
      <c r="F59" s="1"/>
      <c r="G59" s="1"/>
      <c r="H59" s="1"/>
      <c r="I59" s="1"/>
      <c r="J59" s="1"/>
      <c r="K59" s="1"/>
    </row>
    <row r="60" spans="2:11" x14ac:dyDescent="0.45">
      <c r="B60" s="11"/>
      <c r="C60" s="11"/>
      <c r="D60" s="11"/>
      <c r="E60" s="11"/>
      <c r="F60" s="1"/>
      <c r="G60" s="1"/>
      <c r="H60" s="1"/>
      <c r="I60" s="1"/>
      <c r="J60" s="1"/>
      <c r="K60" s="1"/>
    </row>
    <row r="61" spans="2:11" x14ac:dyDescent="0.45">
      <c r="B61" s="11"/>
      <c r="C61" s="11"/>
      <c r="D61" s="11"/>
      <c r="E61" s="11"/>
      <c r="F61" s="1"/>
      <c r="G61" s="1"/>
      <c r="H61" s="1"/>
      <c r="I61" s="1"/>
      <c r="J61" s="1"/>
      <c r="K61" s="1"/>
    </row>
    <row r="62" spans="2:11" x14ac:dyDescent="0.45">
      <c r="B62" s="11"/>
      <c r="C62" s="11"/>
      <c r="D62" s="11"/>
      <c r="E62" s="11"/>
      <c r="F62" s="1"/>
      <c r="G62" s="1"/>
      <c r="H62" s="1"/>
      <c r="I62" s="1"/>
      <c r="J62" s="1"/>
      <c r="K62" s="1"/>
    </row>
    <row r="63" spans="2:11" x14ac:dyDescent="0.45">
      <c r="B63" s="11"/>
      <c r="C63" s="11"/>
      <c r="D63" s="11"/>
      <c r="E63" s="11"/>
      <c r="F63" s="1"/>
      <c r="G63" s="1"/>
      <c r="H63" s="1"/>
      <c r="I63" s="1"/>
      <c r="J63" s="1"/>
      <c r="K63" s="1"/>
    </row>
    <row r="64" spans="2:11" x14ac:dyDescent="0.45">
      <c r="B64" s="11"/>
      <c r="C64" s="11"/>
      <c r="D64" s="11"/>
      <c r="E64" s="11"/>
      <c r="F64" s="1"/>
      <c r="G64" s="1"/>
      <c r="H64" s="1"/>
      <c r="I64" s="1"/>
      <c r="J64" s="1"/>
      <c r="K64" s="1"/>
    </row>
    <row r="65" spans="2:11" x14ac:dyDescent="0.45">
      <c r="B65" s="11"/>
      <c r="C65" s="11"/>
      <c r="D65" s="11"/>
      <c r="E65" s="11"/>
      <c r="F65" s="1"/>
      <c r="G65" s="1"/>
      <c r="H65" s="1"/>
      <c r="I65" s="1"/>
      <c r="J65" s="1"/>
      <c r="K65" s="1"/>
    </row>
    <row r="66" spans="2:11" x14ac:dyDescent="0.45">
      <c r="B66" s="11"/>
      <c r="C66" s="11"/>
      <c r="D66" s="11"/>
      <c r="E66" s="11"/>
      <c r="F66" s="1"/>
      <c r="G66" s="1"/>
      <c r="H66" s="1"/>
      <c r="I66" s="1"/>
      <c r="J66" s="1"/>
      <c r="K66" s="1"/>
    </row>
    <row r="67" spans="2:11" x14ac:dyDescent="0.45">
      <c r="B67" s="11"/>
      <c r="C67" s="11"/>
      <c r="D67" s="11"/>
      <c r="E67" s="11"/>
      <c r="F67" s="1"/>
      <c r="G67" s="1"/>
      <c r="H67" s="1"/>
      <c r="I67" s="1"/>
      <c r="J67" s="1"/>
      <c r="K67" s="1"/>
    </row>
    <row r="68" spans="2:11" x14ac:dyDescent="0.45">
      <c r="B68" s="11"/>
      <c r="C68" s="11"/>
      <c r="D68" s="11"/>
      <c r="E68" s="11"/>
      <c r="F68" s="1"/>
      <c r="G68" s="1"/>
      <c r="H68" s="1"/>
      <c r="I68" s="1"/>
      <c r="J68" s="1"/>
      <c r="K68" s="1"/>
    </row>
    <row r="69" spans="2:11" x14ac:dyDescent="0.45">
      <c r="B69" s="11"/>
      <c r="C69" s="11"/>
      <c r="D69" s="11"/>
      <c r="E69" s="11"/>
      <c r="F69" s="1"/>
      <c r="G69" s="1"/>
      <c r="H69" s="1"/>
      <c r="I69" s="1"/>
      <c r="J69" s="1"/>
      <c r="K69" s="1"/>
    </row>
    <row r="70" spans="2:11" x14ac:dyDescent="0.45">
      <c r="B70" s="11"/>
      <c r="C70" s="11"/>
      <c r="D70" s="11"/>
      <c r="E70" s="11"/>
      <c r="F70" s="1"/>
      <c r="G70" s="1"/>
      <c r="H70" s="1"/>
      <c r="I70" s="1"/>
      <c r="J70" s="1"/>
      <c r="K70" s="1"/>
    </row>
    <row r="71" spans="2:11" x14ac:dyDescent="0.45">
      <c r="B71" s="11"/>
      <c r="C71" s="11"/>
      <c r="D71" s="11"/>
      <c r="E71" s="11"/>
      <c r="F71" s="1"/>
      <c r="G71" s="1"/>
      <c r="H71" s="1"/>
      <c r="I71" s="1"/>
      <c r="J71" s="1"/>
      <c r="K71" s="1"/>
    </row>
    <row r="72" spans="2:11" x14ac:dyDescent="0.45">
      <c r="B72" s="11"/>
      <c r="C72" s="11"/>
      <c r="D72" s="11"/>
      <c r="E72" s="11"/>
      <c r="F72" s="1"/>
      <c r="G72" s="1"/>
      <c r="H72" s="1"/>
      <c r="I72" s="1"/>
      <c r="J72" s="1"/>
      <c r="K72" s="1"/>
    </row>
    <row r="73" spans="2:11" x14ac:dyDescent="0.45">
      <c r="B73" s="11"/>
      <c r="C73" s="11"/>
      <c r="D73" s="11"/>
      <c r="E73" s="11"/>
      <c r="F73" s="1"/>
      <c r="G73" s="1"/>
      <c r="H73" s="1"/>
      <c r="I73" s="1"/>
      <c r="J73" s="1"/>
      <c r="K73" s="1"/>
    </row>
    <row r="74" spans="2:11" x14ac:dyDescent="0.45">
      <c r="B74" s="11"/>
      <c r="C74" s="11"/>
      <c r="D74" s="11"/>
      <c r="E74" s="11"/>
      <c r="F74" s="1"/>
      <c r="G74" s="1"/>
      <c r="H74" s="1"/>
      <c r="I74" s="1"/>
      <c r="J74" s="1"/>
      <c r="K74" s="1"/>
    </row>
    <row r="75" spans="2:11" x14ac:dyDescent="0.45">
      <c r="B75" s="11"/>
      <c r="C75" s="11"/>
      <c r="D75" s="11"/>
      <c r="E75" s="11"/>
      <c r="F75" s="1"/>
      <c r="G75" s="1"/>
      <c r="H75" s="1"/>
      <c r="I75" s="1"/>
      <c r="J75" s="1"/>
      <c r="K75" s="1"/>
    </row>
    <row r="76" spans="2:11" x14ac:dyDescent="0.45">
      <c r="B76" s="11"/>
      <c r="C76" s="11"/>
      <c r="D76" s="11"/>
      <c r="E76" s="11"/>
      <c r="F76" s="1"/>
      <c r="G76" s="1"/>
      <c r="H76" s="1"/>
      <c r="I76" s="1"/>
      <c r="J76" s="1"/>
      <c r="K76" s="1"/>
    </row>
    <row r="77" spans="2:11" x14ac:dyDescent="0.45">
      <c r="B77" s="11"/>
      <c r="C77" s="11"/>
      <c r="D77" s="11"/>
      <c r="E77" s="11"/>
      <c r="F77" s="1"/>
      <c r="G77" s="1"/>
      <c r="H77" s="1"/>
      <c r="I77" s="1"/>
      <c r="J77" s="1"/>
      <c r="K77" s="1"/>
    </row>
    <row r="78" spans="2:11" x14ac:dyDescent="0.45">
      <c r="B78" s="11"/>
      <c r="C78" s="11"/>
      <c r="D78" s="11"/>
      <c r="E78" s="11"/>
      <c r="F78" s="1"/>
      <c r="G78" s="1"/>
      <c r="H78" s="1"/>
      <c r="I78" s="1"/>
      <c r="J78" s="1"/>
      <c r="K78" s="1"/>
    </row>
    <row r="79" spans="2:11" x14ac:dyDescent="0.45">
      <c r="B79" s="11"/>
      <c r="C79" s="11"/>
      <c r="D79" s="11"/>
      <c r="E79" s="11"/>
      <c r="F79" s="1"/>
      <c r="G79" s="1"/>
      <c r="H79" s="1"/>
      <c r="I79" s="1"/>
      <c r="J79" s="1"/>
      <c r="K79" s="1"/>
    </row>
    <row r="80" spans="2:11" x14ac:dyDescent="0.45">
      <c r="B80" s="11"/>
      <c r="C80" s="11"/>
      <c r="D80" s="11"/>
      <c r="E80" s="11"/>
      <c r="F80" s="1"/>
      <c r="G80" s="1"/>
      <c r="H80" s="1"/>
      <c r="I80" s="1"/>
      <c r="J80" s="1"/>
      <c r="K80" s="1"/>
    </row>
    <row r="81" spans="2:11" x14ac:dyDescent="0.45">
      <c r="B81" s="11"/>
      <c r="C81" s="11"/>
      <c r="D81" s="11"/>
      <c r="E81" s="11"/>
      <c r="F81" s="1"/>
      <c r="G81" s="1"/>
      <c r="H81" s="1"/>
      <c r="I81" s="1"/>
      <c r="J81" s="1"/>
      <c r="K81" s="1"/>
    </row>
    <row r="82" spans="2:11" x14ac:dyDescent="0.45">
      <c r="B82" s="11"/>
      <c r="C82" s="11"/>
      <c r="D82" s="11"/>
      <c r="E82" s="11"/>
      <c r="F82" s="1"/>
      <c r="G82" s="1"/>
      <c r="H82" s="1"/>
      <c r="I82" s="1"/>
      <c r="J82" s="1"/>
      <c r="K82" s="1"/>
    </row>
    <row r="83" spans="2:11" x14ac:dyDescent="0.45">
      <c r="B83" s="11"/>
      <c r="C83" s="11"/>
      <c r="D83" s="11"/>
      <c r="E83" s="11"/>
      <c r="F83" s="1"/>
      <c r="G83" s="1"/>
      <c r="H83" s="1"/>
      <c r="I83" s="1"/>
      <c r="J83" s="1"/>
      <c r="K83" s="1"/>
    </row>
    <row r="84" spans="2:11" x14ac:dyDescent="0.45">
      <c r="B84" s="11"/>
      <c r="C84" s="11"/>
      <c r="D84" s="11"/>
      <c r="E84" s="11"/>
      <c r="F84" s="1"/>
      <c r="G84" s="1"/>
      <c r="H84" s="1"/>
      <c r="I84" s="1"/>
      <c r="J84" s="1"/>
      <c r="K84" s="1"/>
    </row>
    <row r="85" spans="2:11" x14ac:dyDescent="0.45">
      <c r="B85" s="11"/>
      <c r="C85" s="11"/>
      <c r="D85" s="11"/>
      <c r="E85" s="11"/>
      <c r="F85" s="1"/>
      <c r="G85" s="1"/>
      <c r="H85" s="1"/>
      <c r="I85" s="1"/>
      <c r="J85" s="1"/>
      <c r="K85" s="1"/>
    </row>
    <row r="86" spans="2:11" x14ac:dyDescent="0.45">
      <c r="B86" s="11"/>
      <c r="C86" s="11"/>
      <c r="D86" s="11"/>
      <c r="E86" s="11"/>
      <c r="F86" s="1"/>
      <c r="G86" s="1"/>
      <c r="H86" s="1"/>
      <c r="I86" s="1"/>
      <c r="J86" s="1"/>
      <c r="K86" s="1"/>
    </row>
    <row r="87" spans="2:11" x14ac:dyDescent="0.45">
      <c r="B87" s="11"/>
      <c r="C87" s="11"/>
      <c r="D87" s="11"/>
      <c r="E87" s="11"/>
      <c r="F87" s="1"/>
      <c r="G87" s="1"/>
      <c r="H87" s="1"/>
      <c r="I87" s="1"/>
      <c r="J87" s="1"/>
      <c r="K87" s="1"/>
    </row>
    <row r="88" spans="2:11" x14ac:dyDescent="0.45">
      <c r="B88" s="11"/>
      <c r="C88" s="11"/>
      <c r="D88" s="11"/>
      <c r="E88" s="11"/>
      <c r="F88" s="1"/>
      <c r="G88" s="1"/>
      <c r="H88" s="1"/>
      <c r="I88" s="1"/>
      <c r="J88" s="1"/>
      <c r="K88" s="1"/>
    </row>
    <row r="89" spans="2:11" x14ac:dyDescent="0.45">
      <c r="B89" s="11"/>
      <c r="C89" s="11"/>
      <c r="D89" s="11"/>
      <c r="E89" s="11"/>
      <c r="F89" s="1"/>
      <c r="G89" s="1"/>
      <c r="H89" s="1"/>
      <c r="I89" s="1"/>
      <c r="J89" s="1"/>
      <c r="K89" s="1"/>
    </row>
    <row r="90" spans="2:11" x14ac:dyDescent="0.45">
      <c r="B90" s="11"/>
      <c r="C90" s="11"/>
      <c r="D90" s="11"/>
      <c r="E90" s="11"/>
      <c r="F90" s="1"/>
      <c r="G90" s="1"/>
      <c r="H90" s="1"/>
      <c r="I90" s="1"/>
      <c r="J90" s="1"/>
      <c r="K90" s="1"/>
    </row>
    <row r="91" spans="2:11" x14ac:dyDescent="0.45">
      <c r="B91" s="11"/>
      <c r="C91" s="11"/>
      <c r="D91" s="11"/>
      <c r="E91" s="11"/>
      <c r="F91" s="1"/>
      <c r="G91" s="1"/>
      <c r="H91" s="1"/>
      <c r="I91" s="1"/>
      <c r="J91" s="1"/>
      <c r="K91" s="1"/>
    </row>
    <row r="92" spans="2:11" x14ac:dyDescent="0.45">
      <c r="B92" s="11"/>
      <c r="C92" s="11"/>
      <c r="D92" s="11"/>
      <c r="E92" s="11"/>
      <c r="F92" s="1"/>
      <c r="G92" s="1"/>
      <c r="H92" s="1"/>
      <c r="I92" s="1"/>
      <c r="J92" s="1"/>
      <c r="K92" s="1"/>
    </row>
  </sheetData>
  <mergeCells count="3">
    <mergeCell ref="A1:L1"/>
    <mergeCell ref="A2:L2"/>
    <mergeCell ref="A21:B21"/>
  </mergeCells>
  <phoneticPr fontId="2" type="noConversion"/>
  <pageMargins left="0.12" right="0.12" top="0.75" bottom="0.75" header="0.3" footer="0.3"/>
  <pageSetup paperSize="9" scale="93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7" tint="0.59999389629810485"/>
  </sheetPr>
  <dimension ref="A1:AG57"/>
  <sheetViews>
    <sheetView zoomScale="70" zoomScaleNormal="70" zoomScaleSheetLayoutView="80" workbookViewId="0">
      <pane ySplit="4" topLeftCell="A5" activePane="bottomLeft" state="frozen"/>
      <selection activeCell="L14" sqref="L14"/>
      <selection pane="bottomLeft" activeCell="G18" sqref="G18"/>
    </sheetView>
  </sheetViews>
  <sheetFormatPr defaultColWidth="9" defaultRowHeight="21" x14ac:dyDescent="0.45"/>
  <cols>
    <col min="1" max="1" width="3.125" style="20" bestFit="1" customWidth="1"/>
    <col min="2" max="2" width="8.375" style="37" customWidth="1"/>
    <col min="3" max="3" width="9.75" style="20" hidden="1" customWidth="1"/>
    <col min="4" max="4" width="11.875" style="20" hidden="1" customWidth="1"/>
    <col min="5" max="5" width="13.625" style="20" hidden="1" customWidth="1"/>
    <col min="6" max="6" width="30.75" style="20" hidden="1" customWidth="1"/>
    <col min="7" max="7" width="38.625" style="20" customWidth="1"/>
    <col min="8" max="8" width="33.75" style="20" customWidth="1"/>
    <col min="9" max="9" width="5.25" style="20" customWidth="1"/>
    <col min="10" max="10" width="5" style="20" customWidth="1"/>
    <col min="11" max="11" width="5.5" style="22" customWidth="1"/>
    <col min="12" max="12" width="8.625" style="22" customWidth="1"/>
    <col min="13" max="13" width="13.375" style="37" customWidth="1"/>
    <col min="14" max="14" width="22.375" style="50" customWidth="1"/>
    <col min="15" max="15" width="16.375" style="50" customWidth="1"/>
    <col min="16" max="16" width="9.75" style="37" customWidth="1"/>
    <col min="17" max="17" width="9.75" style="53" customWidth="1"/>
    <col min="18" max="18" width="17" style="20" customWidth="1"/>
    <col min="19" max="19" width="11.75" style="22" customWidth="1"/>
    <col min="20" max="23" width="10.125" style="22" customWidth="1"/>
    <col min="24" max="24" width="12.5" style="22" customWidth="1"/>
    <col min="25" max="31" width="10.125" style="22" customWidth="1"/>
    <col min="32" max="32" width="48.25" style="20" customWidth="1"/>
    <col min="33" max="16384" width="9" style="20"/>
  </cols>
  <sheetData>
    <row r="1" spans="1:32" ht="29.25" x14ac:dyDescent="0.6">
      <c r="A1" s="442" t="s">
        <v>153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</row>
    <row r="2" spans="1:32" ht="15" customHeight="1" x14ac:dyDescent="0.45">
      <c r="A2" s="24"/>
      <c r="B2" s="24"/>
      <c r="C2" s="24"/>
      <c r="D2" s="24"/>
      <c r="E2" s="24"/>
      <c r="F2" s="24"/>
      <c r="G2" s="24"/>
      <c r="H2" s="24"/>
      <c r="I2" s="24"/>
      <c r="J2" s="24"/>
      <c r="K2" s="44"/>
      <c r="L2" s="24"/>
      <c r="M2" s="24"/>
      <c r="N2" s="45"/>
      <c r="O2" s="45"/>
      <c r="P2" s="24"/>
      <c r="Q2" s="4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x14ac:dyDescent="0.45">
      <c r="A3" s="443" t="s">
        <v>0</v>
      </c>
      <c r="B3" s="443" t="s">
        <v>52</v>
      </c>
      <c r="C3" s="443" t="s">
        <v>53</v>
      </c>
      <c r="D3" s="445" t="s">
        <v>54</v>
      </c>
      <c r="E3" s="445" t="s">
        <v>55</v>
      </c>
      <c r="F3" s="443" t="s">
        <v>1</v>
      </c>
      <c r="G3" s="443" t="s">
        <v>9</v>
      </c>
      <c r="H3" s="447" t="s">
        <v>58</v>
      </c>
      <c r="I3" s="449" t="s">
        <v>56</v>
      </c>
      <c r="J3" s="449"/>
      <c r="K3" s="449"/>
      <c r="L3" s="40" t="s">
        <v>57</v>
      </c>
      <c r="M3" s="435" t="s">
        <v>116</v>
      </c>
      <c r="N3" s="435" t="s">
        <v>117</v>
      </c>
      <c r="O3" s="435" t="s">
        <v>166</v>
      </c>
      <c r="P3" s="55" t="s">
        <v>118</v>
      </c>
      <c r="Q3" s="436" t="s">
        <v>7</v>
      </c>
      <c r="R3" s="435" t="s">
        <v>158</v>
      </c>
      <c r="S3" s="437" t="s">
        <v>181</v>
      </c>
      <c r="T3" s="438"/>
      <c r="U3" s="438"/>
      <c r="V3" s="438"/>
      <c r="W3" s="438"/>
      <c r="X3" s="438"/>
      <c r="Y3" s="438"/>
      <c r="Z3" s="438"/>
      <c r="AA3" s="438"/>
      <c r="AB3" s="438"/>
      <c r="AC3" s="438"/>
      <c r="AD3" s="438"/>
      <c r="AE3" s="439"/>
      <c r="AF3" s="435" t="s">
        <v>2</v>
      </c>
    </row>
    <row r="4" spans="1:32" x14ac:dyDescent="0.45">
      <c r="A4" s="444"/>
      <c r="B4" s="444"/>
      <c r="C4" s="444"/>
      <c r="D4" s="446"/>
      <c r="E4" s="446"/>
      <c r="F4" s="444"/>
      <c r="G4" s="444"/>
      <c r="H4" s="448"/>
      <c r="I4" s="21" t="s">
        <v>59</v>
      </c>
      <c r="J4" s="21" t="s">
        <v>60</v>
      </c>
      <c r="K4" s="39" t="s">
        <v>61</v>
      </c>
      <c r="L4" s="39" t="s">
        <v>62</v>
      </c>
      <c r="M4" s="435"/>
      <c r="N4" s="435"/>
      <c r="O4" s="435"/>
      <c r="P4" s="56" t="s">
        <v>119</v>
      </c>
      <c r="Q4" s="436"/>
      <c r="R4" s="435"/>
      <c r="S4" s="57" t="s">
        <v>163</v>
      </c>
      <c r="T4" s="23" t="s">
        <v>11</v>
      </c>
      <c r="U4" s="23" t="s">
        <v>12</v>
      </c>
      <c r="V4" s="23" t="s">
        <v>13</v>
      </c>
      <c r="W4" s="23" t="s">
        <v>14</v>
      </c>
      <c r="X4" s="23" t="s">
        <v>15</v>
      </c>
      <c r="Y4" s="23" t="s">
        <v>16</v>
      </c>
      <c r="Z4" s="23" t="s">
        <v>17</v>
      </c>
      <c r="AA4" s="23" t="s">
        <v>18</v>
      </c>
      <c r="AB4" s="23" t="s">
        <v>19</v>
      </c>
      <c r="AC4" s="23" t="s">
        <v>20</v>
      </c>
      <c r="AD4" s="23" t="s">
        <v>21</v>
      </c>
      <c r="AE4" s="23" t="s">
        <v>147</v>
      </c>
      <c r="AF4" s="435"/>
    </row>
    <row r="5" spans="1:32" ht="26.25" x14ac:dyDescent="0.45">
      <c r="A5" s="409" t="s">
        <v>154</v>
      </c>
      <c r="B5" s="410"/>
      <c r="C5" s="410"/>
      <c r="D5" s="410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410"/>
      <c r="X5" s="410"/>
      <c r="Y5" s="410"/>
      <c r="Z5" s="410"/>
      <c r="AA5" s="410"/>
      <c r="AB5" s="410"/>
      <c r="AC5" s="410"/>
      <c r="AD5" s="410"/>
      <c r="AE5" s="410"/>
      <c r="AF5" s="411"/>
    </row>
    <row r="6" spans="1:32" x14ac:dyDescent="0.45">
      <c r="A6" s="41">
        <v>1</v>
      </c>
      <c r="B6" s="41">
        <v>73811</v>
      </c>
      <c r="C6" s="41">
        <v>310</v>
      </c>
      <c r="D6" s="41">
        <v>3524</v>
      </c>
      <c r="E6" s="41" t="s">
        <v>78</v>
      </c>
      <c r="F6" s="38" t="s">
        <v>202</v>
      </c>
      <c r="G6" s="38" t="s">
        <v>280</v>
      </c>
      <c r="H6" s="42" t="s">
        <v>65</v>
      </c>
      <c r="I6" s="38">
        <v>0</v>
      </c>
      <c r="J6" s="38">
        <v>0</v>
      </c>
      <c r="K6" s="43">
        <v>18</v>
      </c>
      <c r="L6" s="28">
        <f t="shared" ref="L6" si="0">+I6*400+J6*100+K6</f>
        <v>18</v>
      </c>
      <c r="M6" s="41" t="s">
        <v>120</v>
      </c>
      <c r="N6" s="47"/>
      <c r="O6" s="29"/>
      <c r="P6" s="41"/>
      <c r="Q6" s="59"/>
      <c r="R6" s="29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>
        <f>SUM(S6:AD6)</f>
        <v>0</v>
      </c>
      <c r="AF6" s="38"/>
    </row>
    <row r="7" spans="1:32" ht="26.25" x14ac:dyDescent="0.45">
      <c r="A7" s="409" t="s">
        <v>167</v>
      </c>
      <c r="B7" s="410"/>
      <c r="C7" s="410"/>
      <c r="D7" s="410"/>
      <c r="E7" s="410"/>
      <c r="F7" s="410"/>
      <c r="G7" s="410"/>
      <c r="H7" s="410"/>
      <c r="I7" s="410"/>
      <c r="J7" s="410"/>
      <c r="K7" s="410"/>
      <c r="L7" s="410"/>
      <c r="M7" s="410"/>
      <c r="N7" s="410"/>
      <c r="O7" s="410"/>
      <c r="P7" s="410"/>
      <c r="Q7" s="410"/>
      <c r="R7" s="410"/>
      <c r="S7" s="410"/>
      <c r="T7" s="410"/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  <c r="AF7" s="411"/>
    </row>
    <row r="8" spans="1:32" x14ac:dyDescent="0.45">
      <c r="A8" s="29">
        <v>1</v>
      </c>
      <c r="B8" s="29">
        <v>10081</v>
      </c>
      <c r="C8" s="29">
        <v>379</v>
      </c>
      <c r="D8" s="29">
        <v>572</v>
      </c>
      <c r="E8" s="29" t="s">
        <v>74</v>
      </c>
      <c r="F8" s="30" t="s">
        <v>75</v>
      </c>
      <c r="G8" s="30" t="s">
        <v>76</v>
      </c>
      <c r="H8" s="31" t="s">
        <v>65</v>
      </c>
      <c r="I8" s="30">
        <v>4</v>
      </c>
      <c r="J8" s="30">
        <v>3</v>
      </c>
      <c r="K8" s="32">
        <v>17</v>
      </c>
      <c r="L8" s="28">
        <f t="shared" ref="L8:L35" si="1">+I8*400+J8*100+K8</f>
        <v>1917</v>
      </c>
      <c r="M8" s="29"/>
      <c r="N8" s="46"/>
      <c r="O8" s="46"/>
      <c r="P8" s="29"/>
      <c r="Q8" s="51"/>
      <c r="R8" s="30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0"/>
    </row>
    <row r="9" spans="1:32" x14ac:dyDescent="0.45">
      <c r="A9" s="29">
        <v>2</v>
      </c>
      <c r="B9" s="29">
        <v>68042</v>
      </c>
      <c r="C9" s="29">
        <v>427</v>
      </c>
      <c r="D9" s="29">
        <v>6275</v>
      </c>
      <c r="E9" s="29" t="s">
        <v>115</v>
      </c>
      <c r="F9" s="30" t="s">
        <v>205</v>
      </c>
      <c r="G9" s="30" t="s">
        <v>165</v>
      </c>
      <c r="H9" s="31" t="s">
        <v>85</v>
      </c>
      <c r="I9" s="30">
        <v>0</v>
      </c>
      <c r="J9" s="30">
        <v>0</v>
      </c>
      <c r="K9" s="32">
        <v>52</v>
      </c>
      <c r="L9" s="28">
        <f>+I9*400+J9*100+K9</f>
        <v>52</v>
      </c>
      <c r="M9" s="29"/>
      <c r="N9" s="46"/>
      <c r="O9" s="41"/>
      <c r="P9" s="29"/>
      <c r="Q9" s="51"/>
      <c r="R9" s="29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>
        <f>SUM(S9:AD9)</f>
        <v>0</v>
      </c>
      <c r="AF9" s="30"/>
    </row>
    <row r="10" spans="1:32" x14ac:dyDescent="0.45">
      <c r="A10" s="29">
        <f>+A9+1</f>
        <v>3</v>
      </c>
      <c r="B10" s="29">
        <v>7975</v>
      </c>
      <c r="C10" s="29">
        <v>37</v>
      </c>
      <c r="D10" s="29">
        <v>1768</v>
      </c>
      <c r="E10" s="29" t="s">
        <v>79</v>
      </c>
      <c r="F10" s="30" t="s">
        <v>80</v>
      </c>
      <c r="G10" s="30" t="s">
        <v>81</v>
      </c>
      <c r="H10" s="31" t="s">
        <v>70</v>
      </c>
      <c r="I10" s="30">
        <v>0</v>
      </c>
      <c r="J10" s="30">
        <v>3</v>
      </c>
      <c r="K10" s="32">
        <v>76</v>
      </c>
      <c r="L10" s="28">
        <f t="shared" si="1"/>
        <v>376</v>
      </c>
      <c r="M10" s="29"/>
      <c r="N10" s="46"/>
      <c r="O10" s="46"/>
      <c r="P10" s="29"/>
      <c r="Q10" s="51"/>
      <c r="R10" s="30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0"/>
    </row>
    <row r="11" spans="1:32" x14ac:dyDescent="0.45">
      <c r="A11" s="29">
        <f t="shared" ref="A11:A28" si="2">+A10+1</f>
        <v>4</v>
      </c>
      <c r="B11" s="29">
        <v>19003</v>
      </c>
      <c r="C11" s="29">
        <v>39</v>
      </c>
      <c r="D11" s="29">
        <v>4501</v>
      </c>
      <c r="E11" s="29" t="s">
        <v>79</v>
      </c>
      <c r="F11" s="30" t="s">
        <v>80</v>
      </c>
      <c r="G11" s="30" t="s">
        <v>155</v>
      </c>
      <c r="H11" s="31" t="s">
        <v>65</v>
      </c>
      <c r="I11" s="30">
        <v>0</v>
      </c>
      <c r="J11" s="30">
        <v>3</v>
      </c>
      <c r="K11" s="32">
        <v>88</v>
      </c>
      <c r="L11" s="28">
        <f t="shared" si="1"/>
        <v>388</v>
      </c>
      <c r="M11" s="29"/>
      <c r="N11" s="46"/>
      <c r="O11" s="46"/>
      <c r="P11" s="29"/>
      <c r="Q11" s="51"/>
      <c r="R11" s="30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0"/>
    </row>
    <row r="12" spans="1:32" x14ac:dyDescent="0.45">
      <c r="A12" s="29">
        <f t="shared" si="2"/>
        <v>5</v>
      </c>
      <c r="B12" s="29">
        <v>19004</v>
      </c>
      <c r="C12" s="29">
        <v>40</v>
      </c>
      <c r="D12" s="29">
        <v>4502</v>
      </c>
      <c r="E12" s="29" t="s">
        <v>79</v>
      </c>
      <c r="F12" s="30" t="s">
        <v>80</v>
      </c>
      <c r="G12" s="30" t="s">
        <v>155</v>
      </c>
      <c r="H12" s="31" t="s">
        <v>65</v>
      </c>
      <c r="I12" s="30">
        <v>0</v>
      </c>
      <c r="J12" s="30">
        <v>3</v>
      </c>
      <c r="K12" s="32">
        <v>87</v>
      </c>
      <c r="L12" s="28">
        <f t="shared" si="1"/>
        <v>387</v>
      </c>
      <c r="M12" s="29"/>
      <c r="N12" s="46"/>
      <c r="O12" s="46"/>
      <c r="P12" s="29"/>
      <c r="Q12" s="51"/>
      <c r="R12" s="30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0"/>
    </row>
    <row r="13" spans="1:32" x14ac:dyDescent="0.45">
      <c r="A13" s="29">
        <f t="shared" si="2"/>
        <v>6</v>
      </c>
      <c r="B13" s="29">
        <v>19005</v>
      </c>
      <c r="C13" s="29">
        <v>41</v>
      </c>
      <c r="D13" s="29">
        <v>4503</v>
      </c>
      <c r="E13" s="29" t="s">
        <v>79</v>
      </c>
      <c r="F13" s="30" t="s">
        <v>80</v>
      </c>
      <c r="G13" s="30" t="s">
        <v>155</v>
      </c>
      <c r="H13" s="31" t="s">
        <v>65</v>
      </c>
      <c r="I13" s="30">
        <v>0</v>
      </c>
      <c r="J13" s="30">
        <v>3</v>
      </c>
      <c r="K13" s="32">
        <v>87</v>
      </c>
      <c r="L13" s="28">
        <f t="shared" si="1"/>
        <v>387</v>
      </c>
      <c r="M13" s="29"/>
      <c r="N13" s="46"/>
      <c r="O13" s="46"/>
      <c r="P13" s="29"/>
      <c r="Q13" s="51"/>
      <c r="R13" s="30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0"/>
    </row>
    <row r="14" spans="1:32" x14ac:dyDescent="0.45">
      <c r="A14" s="29">
        <f t="shared" si="2"/>
        <v>7</v>
      </c>
      <c r="B14" s="29">
        <v>31628</v>
      </c>
      <c r="C14" s="29">
        <v>38</v>
      </c>
      <c r="D14" s="29">
        <v>6624</v>
      </c>
      <c r="E14" s="29" t="s">
        <v>79</v>
      </c>
      <c r="F14" s="30" t="s">
        <v>80</v>
      </c>
      <c r="G14" s="30" t="s">
        <v>81</v>
      </c>
      <c r="H14" s="31" t="s">
        <v>70</v>
      </c>
      <c r="I14" s="30">
        <v>1</v>
      </c>
      <c r="J14" s="30">
        <v>0</v>
      </c>
      <c r="K14" s="32">
        <v>0</v>
      </c>
      <c r="L14" s="28">
        <f t="shared" si="1"/>
        <v>400</v>
      </c>
      <c r="M14" s="29"/>
      <c r="N14" s="46"/>
      <c r="O14" s="46"/>
      <c r="P14" s="29"/>
      <c r="Q14" s="51"/>
      <c r="R14" s="30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0"/>
    </row>
    <row r="15" spans="1:32" x14ac:dyDescent="0.45">
      <c r="A15" s="29">
        <f t="shared" si="2"/>
        <v>8</v>
      </c>
      <c r="B15" s="29">
        <v>3355</v>
      </c>
      <c r="C15" s="29">
        <v>81</v>
      </c>
      <c r="D15" s="29">
        <v>169</v>
      </c>
      <c r="E15" s="29" t="s">
        <v>82</v>
      </c>
      <c r="F15" s="30" t="s">
        <v>123</v>
      </c>
      <c r="G15" s="30" t="s">
        <v>129</v>
      </c>
      <c r="H15" s="31" t="s">
        <v>131</v>
      </c>
      <c r="I15" s="30">
        <v>0</v>
      </c>
      <c r="J15" s="30">
        <v>1</v>
      </c>
      <c r="K15" s="32">
        <v>51</v>
      </c>
      <c r="L15" s="28">
        <f t="shared" si="1"/>
        <v>151</v>
      </c>
      <c r="M15" s="29"/>
      <c r="N15" s="46"/>
      <c r="O15" s="46"/>
      <c r="P15" s="29"/>
      <c r="Q15" s="51"/>
      <c r="R15" s="30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0"/>
    </row>
    <row r="16" spans="1:32" x14ac:dyDescent="0.45">
      <c r="A16" s="29">
        <f t="shared" si="2"/>
        <v>9</v>
      </c>
      <c r="B16" s="29">
        <v>1107</v>
      </c>
      <c r="C16" s="29">
        <v>246</v>
      </c>
      <c r="D16" s="29">
        <v>2723</v>
      </c>
      <c r="E16" s="29" t="s">
        <v>124</v>
      </c>
      <c r="F16" s="30" t="s">
        <v>123</v>
      </c>
      <c r="G16" s="30" t="s">
        <v>129</v>
      </c>
      <c r="H16" s="31" t="s">
        <v>131</v>
      </c>
      <c r="I16" s="30">
        <v>0</v>
      </c>
      <c r="J16" s="30">
        <v>0</v>
      </c>
      <c r="K16" s="32">
        <v>59</v>
      </c>
      <c r="L16" s="28">
        <f t="shared" si="1"/>
        <v>59</v>
      </c>
      <c r="M16" s="29"/>
      <c r="N16" s="46"/>
      <c r="O16" s="46"/>
      <c r="P16" s="29"/>
      <c r="Q16" s="51"/>
      <c r="R16" s="30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0"/>
    </row>
    <row r="17" spans="1:32" x14ac:dyDescent="0.45">
      <c r="A17" s="29">
        <f t="shared" si="2"/>
        <v>10</v>
      </c>
      <c r="B17" s="29">
        <v>1108</v>
      </c>
      <c r="C17" s="29">
        <v>247</v>
      </c>
      <c r="D17" s="29">
        <v>7824</v>
      </c>
      <c r="E17" s="29" t="s">
        <v>125</v>
      </c>
      <c r="F17" s="30" t="s">
        <v>123</v>
      </c>
      <c r="G17" s="30" t="s">
        <v>129</v>
      </c>
      <c r="H17" s="31" t="s">
        <v>131</v>
      </c>
      <c r="I17" s="30">
        <v>0</v>
      </c>
      <c r="J17" s="30">
        <v>0</v>
      </c>
      <c r="K17" s="32">
        <v>60</v>
      </c>
      <c r="L17" s="28">
        <f t="shared" si="1"/>
        <v>60</v>
      </c>
      <c r="M17" s="29"/>
      <c r="N17" s="46"/>
      <c r="O17" s="46"/>
      <c r="P17" s="29"/>
      <c r="Q17" s="51"/>
      <c r="R17" s="30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0"/>
    </row>
    <row r="18" spans="1:32" x14ac:dyDescent="0.45">
      <c r="A18" s="29">
        <f t="shared" si="2"/>
        <v>11</v>
      </c>
      <c r="B18" s="29">
        <v>1109</v>
      </c>
      <c r="C18" s="29">
        <v>248</v>
      </c>
      <c r="D18" s="29">
        <v>7825</v>
      </c>
      <c r="E18" s="29" t="s">
        <v>126</v>
      </c>
      <c r="F18" s="30" t="s">
        <v>123</v>
      </c>
      <c r="G18" s="30" t="s">
        <v>129</v>
      </c>
      <c r="H18" s="31" t="s">
        <v>131</v>
      </c>
      <c r="I18" s="30">
        <v>0</v>
      </c>
      <c r="J18" s="30">
        <v>0</v>
      </c>
      <c r="K18" s="32">
        <v>61</v>
      </c>
      <c r="L18" s="28">
        <f t="shared" si="1"/>
        <v>61</v>
      </c>
      <c r="M18" s="29"/>
      <c r="N18" s="46"/>
      <c r="O18" s="46"/>
      <c r="P18" s="29"/>
      <c r="Q18" s="51"/>
      <c r="R18" s="30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0"/>
    </row>
    <row r="19" spans="1:32" x14ac:dyDescent="0.45">
      <c r="A19" s="29">
        <f t="shared" si="2"/>
        <v>12</v>
      </c>
      <c r="B19" s="29">
        <v>1110</v>
      </c>
      <c r="C19" s="29">
        <v>249</v>
      </c>
      <c r="D19" s="29">
        <v>7826</v>
      </c>
      <c r="E19" s="29" t="s">
        <v>127</v>
      </c>
      <c r="F19" s="30" t="s">
        <v>123</v>
      </c>
      <c r="G19" s="30" t="s">
        <v>129</v>
      </c>
      <c r="H19" s="31" t="s">
        <v>131</v>
      </c>
      <c r="I19" s="30">
        <v>0</v>
      </c>
      <c r="J19" s="30">
        <v>0</v>
      </c>
      <c r="K19" s="32">
        <v>62</v>
      </c>
      <c r="L19" s="28">
        <f t="shared" si="1"/>
        <v>62</v>
      </c>
      <c r="M19" s="29"/>
      <c r="N19" s="46"/>
      <c r="O19" s="46"/>
      <c r="P19" s="29"/>
      <c r="Q19" s="51"/>
      <c r="R19" s="30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0"/>
    </row>
    <row r="20" spans="1:32" x14ac:dyDescent="0.45">
      <c r="A20" s="29">
        <f t="shared" si="2"/>
        <v>13</v>
      </c>
      <c r="B20" s="29">
        <v>1111</v>
      </c>
      <c r="C20" s="29">
        <v>250</v>
      </c>
      <c r="D20" s="29">
        <v>7827</v>
      </c>
      <c r="E20" s="29" t="s">
        <v>128</v>
      </c>
      <c r="F20" s="30" t="s">
        <v>123</v>
      </c>
      <c r="G20" s="30" t="s">
        <v>129</v>
      </c>
      <c r="H20" s="31" t="s">
        <v>131</v>
      </c>
      <c r="I20" s="30">
        <v>0</v>
      </c>
      <c r="J20" s="30">
        <v>0</v>
      </c>
      <c r="K20" s="32">
        <v>63</v>
      </c>
      <c r="L20" s="28">
        <f t="shared" si="1"/>
        <v>63</v>
      </c>
      <c r="M20" s="29"/>
      <c r="N20" s="46"/>
      <c r="O20" s="46"/>
      <c r="P20" s="29"/>
      <c r="Q20" s="51"/>
      <c r="R20" s="30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0"/>
    </row>
    <row r="21" spans="1:32" x14ac:dyDescent="0.45">
      <c r="A21" s="29">
        <f t="shared" si="2"/>
        <v>14</v>
      </c>
      <c r="B21" s="29">
        <v>11250</v>
      </c>
      <c r="C21" s="29">
        <v>85</v>
      </c>
      <c r="D21" s="29">
        <v>1298</v>
      </c>
      <c r="E21" s="29" t="s">
        <v>82</v>
      </c>
      <c r="F21" s="30" t="s">
        <v>72</v>
      </c>
      <c r="G21" s="30" t="s">
        <v>130</v>
      </c>
      <c r="H21" s="31" t="s">
        <v>113</v>
      </c>
      <c r="I21" s="30">
        <v>2</v>
      </c>
      <c r="J21" s="30">
        <v>2</v>
      </c>
      <c r="K21" s="32">
        <v>9.6999999999999993</v>
      </c>
      <c r="L21" s="28">
        <f t="shared" si="1"/>
        <v>1009.7</v>
      </c>
      <c r="M21" s="29"/>
      <c r="N21" s="46"/>
      <c r="O21" s="46"/>
      <c r="P21" s="29"/>
      <c r="Q21" s="51"/>
      <c r="R21" s="30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0"/>
    </row>
    <row r="22" spans="1:32" x14ac:dyDescent="0.45">
      <c r="A22" s="29">
        <f t="shared" si="2"/>
        <v>15</v>
      </c>
      <c r="B22" s="29">
        <v>11251</v>
      </c>
      <c r="C22" s="29">
        <v>84</v>
      </c>
      <c r="D22" s="29">
        <v>1299</v>
      </c>
      <c r="E22" s="29" t="s">
        <v>124</v>
      </c>
      <c r="F22" s="30" t="s">
        <v>72</v>
      </c>
      <c r="G22" s="30" t="s">
        <v>130</v>
      </c>
      <c r="H22" s="31" t="s">
        <v>113</v>
      </c>
      <c r="I22" s="30">
        <v>1</v>
      </c>
      <c r="J22" s="30">
        <v>0</v>
      </c>
      <c r="K22" s="32">
        <v>8.6</v>
      </c>
      <c r="L22" s="28">
        <f t="shared" si="1"/>
        <v>408.6</v>
      </c>
      <c r="M22" s="29"/>
      <c r="N22" s="46"/>
      <c r="O22" s="46"/>
      <c r="P22" s="29"/>
      <c r="Q22" s="51"/>
      <c r="R22" s="30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0"/>
    </row>
    <row r="23" spans="1:32" x14ac:dyDescent="0.45">
      <c r="A23" s="29">
        <f t="shared" si="2"/>
        <v>16</v>
      </c>
      <c r="B23" s="29">
        <v>11249</v>
      </c>
      <c r="C23" s="29">
        <v>86</v>
      </c>
      <c r="D23" s="29">
        <v>1297</v>
      </c>
      <c r="E23" s="29" t="s">
        <v>125</v>
      </c>
      <c r="F23" s="30" t="s">
        <v>72</v>
      </c>
      <c r="G23" s="30" t="s">
        <v>130</v>
      </c>
      <c r="H23" s="31" t="s">
        <v>113</v>
      </c>
      <c r="I23" s="30">
        <v>0</v>
      </c>
      <c r="J23" s="30">
        <v>1</v>
      </c>
      <c r="K23" s="32">
        <v>86.2</v>
      </c>
      <c r="L23" s="28">
        <f t="shared" si="1"/>
        <v>186.2</v>
      </c>
      <c r="M23" s="29"/>
      <c r="N23" s="46"/>
      <c r="O23" s="46"/>
      <c r="P23" s="29"/>
      <c r="Q23" s="51"/>
      <c r="R23" s="30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0"/>
    </row>
    <row r="24" spans="1:32" x14ac:dyDescent="0.45">
      <c r="A24" s="29">
        <f t="shared" si="2"/>
        <v>17</v>
      </c>
      <c r="B24" s="29">
        <v>28127</v>
      </c>
      <c r="C24" s="29">
        <v>396</v>
      </c>
      <c r="D24" s="29">
        <v>5820</v>
      </c>
      <c r="E24" s="29" t="s">
        <v>83</v>
      </c>
      <c r="F24" s="30" t="s">
        <v>80</v>
      </c>
      <c r="G24" s="30" t="s">
        <v>84</v>
      </c>
      <c r="H24" s="31" t="s">
        <v>70</v>
      </c>
      <c r="I24" s="30">
        <v>1</v>
      </c>
      <c r="J24" s="30">
        <v>3</v>
      </c>
      <c r="K24" s="32">
        <v>89</v>
      </c>
      <c r="L24" s="28">
        <f t="shared" si="1"/>
        <v>789</v>
      </c>
      <c r="M24" s="29"/>
      <c r="N24" s="46"/>
      <c r="O24" s="46"/>
      <c r="P24" s="29"/>
      <c r="Q24" s="51"/>
      <c r="R24" s="30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0"/>
    </row>
    <row r="25" spans="1:32" x14ac:dyDescent="0.45">
      <c r="A25" s="29">
        <f t="shared" si="2"/>
        <v>18</v>
      </c>
      <c r="B25" s="29">
        <v>28128</v>
      </c>
      <c r="C25" s="29">
        <v>395</v>
      </c>
      <c r="D25" s="29">
        <v>5821</v>
      </c>
      <c r="E25" s="29" t="s">
        <v>83</v>
      </c>
      <c r="F25" s="30" t="s">
        <v>80</v>
      </c>
      <c r="G25" s="30" t="s">
        <v>84</v>
      </c>
      <c r="H25" s="31" t="s">
        <v>70</v>
      </c>
      <c r="I25" s="30">
        <v>0</v>
      </c>
      <c r="J25" s="30">
        <v>3</v>
      </c>
      <c r="K25" s="32">
        <v>82</v>
      </c>
      <c r="L25" s="28">
        <f t="shared" si="1"/>
        <v>382</v>
      </c>
      <c r="M25" s="29"/>
      <c r="N25" s="46"/>
      <c r="O25" s="46"/>
      <c r="P25" s="29"/>
      <c r="Q25" s="51"/>
      <c r="R25" s="30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0"/>
    </row>
    <row r="26" spans="1:32" x14ac:dyDescent="0.45">
      <c r="A26" s="29">
        <f t="shared" si="2"/>
        <v>19</v>
      </c>
      <c r="B26" s="29">
        <v>4765</v>
      </c>
      <c r="C26" s="29">
        <v>393</v>
      </c>
      <c r="D26" s="29">
        <v>870</v>
      </c>
      <c r="E26" s="29" t="s">
        <v>83</v>
      </c>
      <c r="F26" s="30" t="s">
        <v>80</v>
      </c>
      <c r="G26" s="30" t="s">
        <v>84</v>
      </c>
      <c r="H26" s="31" t="s">
        <v>112</v>
      </c>
      <c r="I26" s="30">
        <v>3</v>
      </c>
      <c r="J26" s="30">
        <v>0</v>
      </c>
      <c r="K26" s="32">
        <v>92</v>
      </c>
      <c r="L26" s="28">
        <f>+I26*400+J26*100+K26</f>
        <v>1292</v>
      </c>
      <c r="M26" s="29"/>
      <c r="N26" s="46"/>
      <c r="O26" s="46"/>
      <c r="P26" s="29"/>
      <c r="Q26" s="51"/>
      <c r="R26" s="30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0"/>
    </row>
    <row r="27" spans="1:32" x14ac:dyDescent="0.45">
      <c r="A27" s="29">
        <f t="shared" si="2"/>
        <v>20</v>
      </c>
      <c r="B27" s="29">
        <v>79687</v>
      </c>
      <c r="C27" s="29">
        <v>323</v>
      </c>
      <c r="D27" s="29">
        <v>3461</v>
      </c>
      <c r="E27" s="29" t="s">
        <v>90</v>
      </c>
      <c r="F27" s="30" t="s">
        <v>91</v>
      </c>
      <c r="G27" s="30" t="s">
        <v>92</v>
      </c>
      <c r="H27" s="31" t="s">
        <v>65</v>
      </c>
      <c r="I27" s="30">
        <v>8</v>
      </c>
      <c r="J27" s="30">
        <v>1</v>
      </c>
      <c r="K27" s="32">
        <v>65.8</v>
      </c>
      <c r="L27" s="28">
        <f t="shared" si="1"/>
        <v>3365.8</v>
      </c>
      <c r="M27" s="29"/>
      <c r="N27" s="46"/>
      <c r="O27" s="46"/>
      <c r="P27" s="29"/>
      <c r="Q27" s="51"/>
      <c r="R27" s="30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0"/>
    </row>
    <row r="28" spans="1:32" x14ac:dyDescent="0.45">
      <c r="A28" s="29">
        <f t="shared" si="2"/>
        <v>21</v>
      </c>
      <c r="B28" s="29">
        <v>67122</v>
      </c>
      <c r="C28" s="29">
        <v>699</v>
      </c>
      <c r="D28" s="29">
        <v>1857</v>
      </c>
      <c r="E28" s="29" t="s">
        <v>99</v>
      </c>
      <c r="F28" s="30" t="s">
        <v>100</v>
      </c>
      <c r="G28" s="30" t="s">
        <v>102</v>
      </c>
      <c r="H28" s="31" t="s">
        <v>101</v>
      </c>
      <c r="I28" s="30">
        <v>1</v>
      </c>
      <c r="J28" s="30">
        <v>3</v>
      </c>
      <c r="K28" s="32">
        <v>46</v>
      </c>
      <c r="L28" s="28">
        <f t="shared" si="1"/>
        <v>746</v>
      </c>
      <c r="M28" s="29"/>
      <c r="N28" s="46"/>
      <c r="O28" s="46"/>
      <c r="P28" s="29"/>
      <c r="Q28" s="51"/>
      <c r="R28" s="30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0"/>
    </row>
    <row r="29" spans="1:32" x14ac:dyDescent="0.45">
      <c r="A29" s="29"/>
      <c r="B29" s="29"/>
      <c r="C29" s="29"/>
      <c r="D29" s="29"/>
      <c r="E29" s="29"/>
      <c r="F29" s="30"/>
      <c r="G29" s="30"/>
      <c r="H29" s="31" t="s">
        <v>103</v>
      </c>
      <c r="I29" s="30"/>
      <c r="J29" s="30"/>
      <c r="K29" s="32"/>
      <c r="L29" s="28">
        <f t="shared" si="1"/>
        <v>0</v>
      </c>
      <c r="M29" s="29"/>
      <c r="N29" s="46"/>
      <c r="O29" s="46"/>
      <c r="P29" s="29"/>
      <c r="Q29" s="51"/>
      <c r="R29" s="30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0"/>
    </row>
    <row r="30" spans="1:32" x14ac:dyDescent="0.45">
      <c r="A30" s="29"/>
      <c r="B30" s="29"/>
      <c r="C30" s="29"/>
      <c r="D30" s="29"/>
      <c r="E30" s="29"/>
      <c r="F30" s="30"/>
      <c r="G30" s="30"/>
      <c r="H30" s="31" t="s">
        <v>104</v>
      </c>
      <c r="I30" s="30"/>
      <c r="J30" s="30"/>
      <c r="K30" s="32"/>
      <c r="L30" s="28">
        <f t="shared" si="1"/>
        <v>0</v>
      </c>
      <c r="M30" s="29"/>
      <c r="N30" s="46"/>
      <c r="O30" s="46"/>
      <c r="P30" s="29"/>
      <c r="Q30" s="51"/>
      <c r="R30" s="30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0"/>
    </row>
    <row r="31" spans="1:32" x14ac:dyDescent="0.45">
      <c r="A31" s="29">
        <f>+A28+1</f>
        <v>22</v>
      </c>
      <c r="B31" s="29">
        <v>67121</v>
      </c>
      <c r="C31" s="29">
        <v>687</v>
      </c>
      <c r="D31" s="29">
        <v>1792</v>
      </c>
      <c r="E31" s="29" t="s">
        <v>99</v>
      </c>
      <c r="F31" s="30" t="s">
        <v>100</v>
      </c>
      <c r="G31" s="30" t="s">
        <v>102</v>
      </c>
      <c r="H31" s="31" t="s">
        <v>105</v>
      </c>
      <c r="I31" s="30">
        <v>4</v>
      </c>
      <c r="J31" s="30">
        <v>3</v>
      </c>
      <c r="K31" s="32">
        <v>84</v>
      </c>
      <c r="L31" s="28">
        <f t="shared" si="1"/>
        <v>1984</v>
      </c>
      <c r="M31" s="29"/>
      <c r="N31" s="46"/>
      <c r="O31" s="46"/>
      <c r="P31" s="29"/>
      <c r="Q31" s="51"/>
      <c r="R31" s="30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0"/>
    </row>
    <row r="32" spans="1:32" x14ac:dyDescent="0.45">
      <c r="A32" s="29">
        <f>+A31+1</f>
        <v>23</v>
      </c>
      <c r="B32" s="29">
        <v>76633</v>
      </c>
      <c r="C32" s="29">
        <v>724</v>
      </c>
      <c r="D32" s="29">
        <v>4691</v>
      </c>
      <c r="E32" s="29" t="s">
        <v>106</v>
      </c>
      <c r="F32" s="30" t="s">
        <v>107</v>
      </c>
      <c r="G32" s="30" t="s">
        <v>108</v>
      </c>
      <c r="H32" s="31" t="s">
        <v>88</v>
      </c>
      <c r="I32" s="30">
        <v>2</v>
      </c>
      <c r="J32" s="30">
        <v>0</v>
      </c>
      <c r="K32" s="32">
        <v>63</v>
      </c>
      <c r="L32" s="28">
        <f t="shared" si="1"/>
        <v>863</v>
      </c>
      <c r="M32" s="29"/>
      <c r="N32" s="46"/>
      <c r="O32" s="46"/>
      <c r="P32" s="29"/>
      <c r="Q32" s="51"/>
      <c r="R32" s="30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0"/>
    </row>
    <row r="33" spans="1:32" ht="19.899999999999999" customHeight="1" x14ac:dyDescent="0.45">
      <c r="A33" s="29">
        <f t="shared" ref="A33:A35" si="3">+A32+1</f>
        <v>24</v>
      </c>
      <c r="B33" s="29">
        <v>1409</v>
      </c>
      <c r="C33" s="29">
        <v>298</v>
      </c>
      <c r="D33" s="29">
        <v>277</v>
      </c>
      <c r="E33" s="29" t="s">
        <v>109</v>
      </c>
      <c r="F33" s="30" t="s">
        <v>110</v>
      </c>
      <c r="G33" s="30" t="s">
        <v>111</v>
      </c>
      <c r="H33" s="31" t="s">
        <v>85</v>
      </c>
      <c r="I33" s="30">
        <v>1</v>
      </c>
      <c r="J33" s="30">
        <v>0</v>
      </c>
      <c r="K33" s="32">
        <v>23</v>
      </c>
      <c r="L33" s="28">
        <f t="shared" si="1"/>
        <v>423</v>
      </c>
      <c r="M33" s="29"/>
      <c r="N33" s="46"/>
      <c r="O33" s="46"/>
      <c r="P33" s="29"/>
      <c r="Q33" s="51"/>
      <c r="R33" s="30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0"/>
    </row>
    <row r="34" spans="1:32" x14ac:dyDescent="0.45">
      <c r="A34" s="29">
        <f t="shared" si="3"/>
        <v>25</v>
      </c>
      <c r="B34" s="29">
        <v>74561</v>
      </c>
      <c r="C34" s="29">
        <v>907</v>
      </c>
      <c r="D34" s="29">
        <v>7667</v>
      </c>
      <c r="E34" s="29" t="s">
        <v>97</v>
      </c>
      <c r="F34" s="30" t="s">
        <v>87</v>
      </c>
      <c r="G34" s="30" t="s">
        <v>98</v>
      </c>
      <c r="H34" s="31" t="s">
        <v>85</v>
      </c>
      <c r="I34" s="30">
        <v>0</v>
      </c>
      <c r="J34" s="30">
        <v>1</v>
      </c>
      <c r="K34" s="32">
        <v>78</v>
      </c>
      <c r="L34" s="28">
        <f>+I34*400+J34*100+K34</f>
        <v>178</v>
      </c>
      <c r="M34" s="29"/>
      <c r="N34" s="46"/>
      <c r="O34" s="46"/>
      <c r="P34" s="29"/>
      <c r="Q34" s="51"/>
      <c r="R34" s="30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0"/>
    </row>
    <row r="35" spans="1:32" x14ac:dyDescent="0.45">
      <c r="A35" s="29">
        <f t="shared" si="3"/>
        <v>26</v>
      </c>
      <c r="B35" s="29">
        <v>24381</v>
      </c>
      <c r="C35" s="29">
        <v>3</v>
      </c>
      <c r="D35" s="29">
        <v>4656</v>
      </c>
      <c r="E35" s="29" t="s">
        <v>69</v>
      </c>
      <c r="F35" s="30" t="s">
        <v>72</v>
      </c>
      <c r="G35" s="30" t="s">
        <v>114</v>
      </c>
      <c r="H35" s="31" t="s">
        <v>113</v>
      </c>
      <c r="I35" s="30">
        <v>2</v>
      </c>
      <c r="J35" s="30">
        <v>3</v>
      </c>
      <c r="K35" s="32">
        <v>94.5</v>
      </c>
      <c r="L35" s="28">
        <f t="shared" si="1"/>
        <v>1194.5</v>
      </c>
      <c r="M35" s="29"/>
      <c r="N35" s="46"/>
      <c r="O35" s="46"/>
      <c r="P35" s="29"/>
      <c r="Q35" s="51"/>
      <c r="R35" s="30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0"/>
    </row>
    <row r="36" spans="1:32" ht="26.25" x14ac:dyDescent="0.45">
      <c r="A36" s="409" t="s">
        <v>161</v>
      </c>
      <c r="B36" s="410"/>
      <c r="C36" s="410"/>
      <c r="D36" s="410"/>
      <c r="E36" s="410"/>
      <c r="F36" s="410"/>
      <c r="G36" s="410"/>
      <c r="H36" s="410"/>
      <c r="I36" s="410"/>
      <c r="J36" s="410"/>
      <c r="K36" s="410"/>
      <c r="L36" s="410"/>
      <c r="M36" s="410"/>
      <c r="N36" s="410"/>
      <c r="O36" s="410"/>
      <c r="P36" s="410"/>
      <c r="Q36" s="410"/>
      <c r="R36" s="410"/>
      <c r="S36" s="410"/>
      <c r="T36" s="410"/>
      <c r="U36" s="410"/>
      <c r="V36" s="410"/>
      <c r="W36" s="410"/>
      <c r="X36" s="410"/>
      <c r="Y36" s="410"/>
      <c r="Z36" s="410"/>
      <c r="AA36" s="410"/>
      <c r="AB36" s="410"/>
      <c r="AC36" s="410"/>
      <c r="AD36" s="410"/>
      <c r="AE36" s="410"/>
      <c r="AF36" s="411"/>
    </row>
    <row r="37" spans="1:32" x14ac:dyDescent="0.45">
      <c r="A37" s="33">
        <v>1</v>
      </c>
      <c r="B37" s="33">
        <v>1311</v>
      </c>
      <c r="C37" s="33">
        <v>6</v>
      </c>
      <c r="D37" s="33">
        <v>2153</v>
      </c>
      <c r="E37" s="33" t="s">
        <v>63</v>
      </c>
      <c r="F37" s="34" t="s">
        <v>64</v>
      </c>
      <c r="G37" s="34" t="s">
        <v>67</v>
      </c>
      <c r="H37" s="35" t="s">
        <v>65</v>
      </c>
      <c r="I37" s="34">
        <v>2</v>
      </c>
      <c r="J37" s="34">
        <v>2</v>
      </c>
      <c r="K37" s="36">
        <v>13</v>
      </c>
      <c r="L37" s="28">
        <f>+I37*400+J37*100+K37</f>
        <v>1013</v>
      </c>
      <c r="M37" s="33"/>
      <c r="N37" s="49"/>
      <c r="O37" s="49"/>
      <c r="P37" s="33"/>
      <c r="Q37" s="58"/>
      <c r="R37" s="34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4"/>
    </row>
    <row r="38" spans="1:32" ht="26.25" x14ac:dyDescent="0.45">
      <c r="A38" s="409" t="s">
        <v>160</v>
      </c>
      <c r="B38" s="410"/>
      <c r="C38" s="410"/>
      <c r="D38" s="410"/>
      <c r="E38" s="410"/>
      <c r="F38" s="410"/>
      <c r="G38" s="410"/>
      <c r="H38" s="410"/>
      <c r="I38" s="410"/>
      <c r="J38" s="410"/>
      <c r="K38" s="410"/>
      <c r="L38" s="410"/>
      <c r="M38" s="410"/>
      <c r="N38" s="410"/>
      <c r="O38" s="410"/>
      <c r="P38" s="410"/>
      <c r="Q38" s="410"/>
      <c r="R38" s="410"/>
      <c r="S38" s="410"/>
      <c r="T38" s="410"/>
      <c r="U38" s="410"/>
      <c r="V38" s="410"/>
      <c r="W38" s="410"/>
      <c r="X38" s="410"/>
      <c r="Y38" s="410"/>
      <c r="Z38" s="410"/>
      <c r="AA38" s="410"/>
      <c r="AB38" s="410"/>
      <c r="AC38" s="410"/>
      <c r="AD38" s="410"/>
      <c r="AE38" s="410"/>
      <c r="AF38" s="411"/>
    </row>
    <row r="39" spans="1:32" x14ac:dyDescent="0.45">
      <c r="A39" s="25">
        <v>1</v>
      </c>
      <c r="B39" s="25">
        <v>18748</v>
      </c>
      <c r="C39" s="25">
        <v>26</v>
      </c>
      <c r="D39" s="25">
        <v>1</v>
      </c>
      <c r="E39" s="25" t="s">
        <v>133</v>
      </c>
      <c r="F39" s="26" t="s">
        <v>134</v>
      </c>
      <c r="G39" s="26" t="s">
        <v>136</v>
      </c>
      <c r="H39" s="27" t="s">
        <v>137</v>
      </c>
      <c r="I39" s="26">
        <v>0</v>
      </c>
      <c r="J39" s="26">
        <v>2</v>
      </c>
      <c r="K39" s="28">
        <v>53.6</v>
      </c>
      <c r="L39" s="28">
        <f t="shared" ref="L39:L54" si="4">+I39*400+J39*100+K39</f>
        <v>253.6</v>
      </c>
      <c r="M39" s="25"/>
      <c r="N39" s="48"/>
      <c r="O39" s="48"/>
      <c r="P39" s="25"/>
      <c r="Q39" s="52"/>
      <c r="R39" s="26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6"/>
    </row>
    <row r="40" spans="1:32" x14ac:dyDescent="0.45">
      <c r="A40" s="29">
        <f t="shared" ref="A40:A54" si="5">+A39+1</f>
        <v>2</v>
      </c>
      <c r="B40" s="29">
        <v>19481</v>
      </c>
      <c r="C40" s="29">
        <v>513</v>
      </c>
      <c r="D40" s="29">
        <v>8</v>
      </c>
      <c r="E40" s="29" t="s">
        <v>135</v>
      </c>
      <c r="F40" s="30" t="s">
        <v>134</v>
      </c>
      <c r="G40" s="30" t="s">
        <v>136</v>
      </c>
      <c r="H40" s="31" t="s">
        <v>137</v>
      </c>
      <c r="I40" s="30">
        <v>0</v>
      </c>
      <c r="J40" s="30">
        <v>0</v>
      </c>
      <c r="K40" s="32">
        <v>60.9</v>
      </c>
      <c r="L40" s="28">
        <f t="shared" si="4"/>
        <v>60.9</v>
      </c>
      <c r="M40" s="29"/>
      <c r="N40" s="46"/>
      <c r="O40" s="46"/>
      <c r="P40" s="29"/>
      <c r="Q40" s="51"/>
      <c r="R40" s="30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0"/>
    </row>
    <row r="41" spans="1:32" x14ac:dyDescent="0.45">
      <c r="A41" s="29">
        <f t="shared" si="5"/>
        <v>3</v>
      </c>
      <c r="B41" s="29">
        <v>19480</v>
      </c>
      <c r="C41" s="29">
        <v>514</v>
      </c>
      <c r="D41" s="29">
        <v>7</v>
      </c>
      <c r="E41" s="29" t="s">
        <v>135</v>
      </c>
      <c r="F41" s="30" t="s">
        <v>134</v>
      </c>
      <c r="G41" s="30" t="s">
        <v>136</v>
      </c>
      <c r="H41" s="31" t="s">
        <v>137</v>
      </c>
      <c r="I41" s="30">
        <v>0</v>
      </c>
      <c r="J41" s="30">
        <v>0</v>
      </c>
      <c r="K41" s="32">
        <v>50.4</v>
      </c>
      <c r="L41" s="28">
        <f t="shared" si="4"/>
        <v>50.4</v>
      </c>
      <c r="M41" s="29"/>
      <c r="N41" s="46"/>
      <c r="O41" s="46"/>
      <c r="P41" s="29"/>
      <c r="Q41" s="51"/>
      <c r="R41" s="30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0"/>
    </row>
    <row r="42" spans="1:32" x14ac:dyDescent="0.45">
      <c r="A42" s="29">
        <f t="shared" si="5"/>
        <v>4</v>
      </c>
      <c r="B42" s="29">
        <v>19482</v>
      </c>
      <c r="C42" s="29">
        <v>512</v>
      </c>
      <c r="D42" s="29">
        <v>9</v>
      </c>
      <c r="E42" s="29" t="s">
        <v>135</v>
      </c>
      <c r="F42" s="30" t="s">
        <v>134</v>
      </c>
      <c r="G42" s="30" t="s">
        <v>136</v>
      </c>
      <c r="H42" s="31" t="s">
        <v>137</v>
      </c>
      <c r="I42" s="30">
        <v>0</v>
      </c>
      <c r="J42" s="30">
        <v>0</v>
      </c>
      <c r="K42" s="32">
        <v>64.099999999999994</v>
      </c>
      <c r="L42" s="28">
        <f t="shared" si="4"/>
        <v>64.099999999999994</v>
      </c>
      <c r="M42" s="29"/>
      <c r="N42" s="46"/>
      <c r="O42" s="46"/>
      <c r="P42" s="29"/>
      <c r="Q42" s="51"/>
      <c r="R42" s="30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0"/>
    </row>
    <row r="43" spans="1:32" x14ac:dyDescent="0.45">
      <c r="A43" s="29">
        <f t="shared" si="5"/>
        <v>5</v>
      </c>
      <c r="B43" s="29">
        <v>19483</v>
      </c>
      <c r="C43" s="29">
        <v>511</v>
      </c>
      <c r="D43" s="29">
        <v>10</v>
      </c>
      <c r="E43" s="29" t="s">
        <v>135</v>
      </c>
      <c r="F43" s="30" t="s">
        <v>134</v>
      </c>
      <c r="G43" s="30" t="s">
        <v>136</v>
      </c>
      <c r="H43" s="31" t="s">
        <v>137</v>
      </c>
      <c r="I43" s="30">
        <v>0</v>
      </c>
      <c r="J43" s="30">
        <v>0</v>
      </c>
      <c r="K43" s="32">
        <v>67.2</v>
      </c>
      <c r="L43" s="28">
        <f t="shared" si="4"/>
        <v>67.2</v>
      </c>
      <c r="M43" s="29"/>
      <c r="N43" s="46"/>
      <c r="O43" s="46"/>
      <c r="P43" s="29"/>
      <c r="Q43" s="51"/>
      <c r="R43" s="30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0"/>
    </row>
    <row r="44" spans="1:32" x14ac:dyDescent="0.45">
      <c r="A44" s="29">
        <f t="shared" si="5"/>
        <v>6</v>
      </c>
      <c r="B44" s="29">
        <v>19484</v>
      </c>
      <c r="C44" s="29">
        <v>510</v>
      </c>
      <c r="D44" s="29">
        <v>11</v>
      </c>
      <c r="E44" s="29" t="s">
        <v>135</v>
      </c>
      <c r="F44" s="30" t="s">
        <v>134</v>
      </c>
      <c r="G44" s="30" t="s">
        <v>136</v>
      </c>
      <c r="H44" s="31" t="s">
        <v>137</v>
      </c>
      <c r="I44" s="30">
        <v>0</v>
      </c>
      <c r="J44" s="30">
        <v>0</v>
      </c>
      <c r="K44" s="32">
        <v>69.7</v>
      </c>
      <c r="L44" s="28">
        <f t="shared" si="4"/>
        <v>69.7</v>
      </c>
      <c r="M44" s="29"/>
      <c r="N44" s="46"/>
      <c r="O44" s="46"/>
      <c r="P44" s="29"/>
      <c r="Q44" s="51"/>
      <c r="R44" s="30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0"/>
    </row>
    <row r="45" spans="1:32" x14ac:dyDescent="0.45">
      <c r="A45" s="29">
        <f t="shared" si="5"/>
        <v>7</v>
      </c>
      <c r="B45" s="29">
        <v>19485</v>
      </c>
      <c r="C45" s="29">
        <v>509</v>
      </c>
      <c r="D45" s="29">
        <v>12</v>
      </c>
      <c r="E45" s="29" t="s">
        <v>135</v>
      </c>
      <c r="F45" s="30" t="s">
        <v>134</v>
      </c>
      <c r="G45" s="30" t="s">
        <v>136</v>
      </c>
      <c r="H45" s="31" t="s">
        <v>137</v>
      </c>
      <c r="I45" s="30">
        <v>0</v>
      </c>
      <c r="J45" s="30">
        <v>0</v>
      </c>
      <c r="K45" s="32">
        <v>74.7</v>
      </c>
      <c r="L45" s="28">
        <f t="shared" si="4"/>
        <v>74.7</v>
      </c>
      <c r="M45" s="29"/>
      <c r="N45" s="46"/>
      <c r="O45" s="46"/>
      <c r="P45" s="29"/>
      <c r="Q45" s="51"/>
      <c r="R45" s="30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0"/>
    </row>
    <row r="46" spans="1:32" x14ac:dyDescent="0.45">
      <c r="A46" s="29">
        <f t="shared" si="5"/>
        <v>8</v>
      </c>
      <c r="B46" s="29">
        <v>19486</v>
      </c>
      <c r="C46" s="29">
        <v>508</v>
      </c>
      <c r="D46" s="29">
        <v>13</v>
      </c>
      <c r="E46" s="29" t="s">
        <v>135</v>
      </c>
      <c r="F46" s="30" t="s">
        <v>134</v>
      </c>
      <c r="G46" s="30" t="s">
        <v>136</v>
      </c>
      <c r="H46" s="31" t="s">
        <v>137</v>
      </c>
      <c r="I46" s="30">
        <v>0</v>
      </c>
      <c r="J46" s="30">
        <v>0</v>
      </c>
      <c r="K46" s="32">
        <v>80.400000000000006</v>
      </c>
      <c r="L46" s="28">
        <f t="shared" si="4"/>
        <v>80.400000000000006</v>
      </c>
      <c r="M46" s="29"/>
      <c r="N46" s="46"/>
      <c r="O46" s="46"/>
      <c r="P46" s="29"/>
      <c r="Q46" s="51"/>
      <c r="R46" s="30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0"/>
    </row>
    <row r="47" spans="1:32" x14ac:dyDescent="0.45">
      <c r="A47" s="29">
        <f t="shared" si="5"/>
        <v>9</v>
      </c>
      <c r="B47" s="29">
        <v>19487</v>
      </c>
      <c r="C47" s="29">
        <v>507</v>
      </c>
      <c r="D47" s="29">
        <v>14</v>
      </c>
      <c r="E47" s="29" t="s">
        <v>135</v>
      </c>
      <c r="F47" s="30" t="s">
        <v>134</v>
      </c>
      <c r="G47" s="30" t="s">
        <v>136</v>
      </c>
      <c r="H47" s="31" t="s">
        <v>137</v>
      </c>
      <c r="I47" s="30">
        <v>0</v>
      </c>
      <c r="J47" s="30">
        <v>0</v>
      </c>
      <c r="K47" s="32">
        <v>86.1</v>
      </c>
      <c r="L47" s="28">
        <f t="shared" si="4"/>
        <v>86.1</v>
      </c>
      <c r="M47" s="29"/>
      <c r="N47" s="46"/>
      <c r="O47" s="46"/>
      <c r="P47" s="29"/>
      <c r="Q47" s="51"/>
      <c r="R47" s="30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0"/>
    </row>
    <row r="48" spans="1:32" x14ac:dyDescent="0.45">
      <c r="A48" s="29">
        <f t="shared" si="5"/>
        <v>10</v>
      </c>
      <c r="B48" s="29">
        <v>19488</v>
      </c>
      <c r="C48" s="29">
        <v>506</v>
      </c>
      <c r="D48" s="29">
        <v>15</v>
      </c>
      <c r="E48" s="29" t="s">
        <v>135</v>
      </c>
      <c r="F48" s="30" t="s">
        <v>134</v>
      </c>
      <c r="G48" s="30" t="s">
        <v>136</v>
      </c>
      <c r="H48" s="31" t="s">
        <v>137</v>
      </c>
      <c r="I48" s="30">
        <v>0</v>
      </c>
      <c r="J48" s="30">
        <v>0</v>
      </c>
      <c r="K48" s="32">
        <v>91.7</v>
      </c>
      <c r="L48" s="28">
        <f t="shared" si="4"/>
        <v>91.7</v>
      </c>
      <c r="M48" s="29"/>
      <c r="N48" s="46"/>
      <c r="O48" s="46"/>
      <c r="P48" s="29"/>
      <c r="Q48" s="51"/>
      <c r="R48" s="30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0"/>
    </row>
    <row r="49" spans="1:33" x14ac:dyDescent="0.45">
      <c r="A49" s="29">
        <f t="shared" si="5"/>
        <v>11</v>
      </c>
      <c r="B49" s="29">
        <v>19489</v>
      </c>
      <c r="C49" s="29">
        <v>505</v>
      </c>
      <c r="D49" s="29">
        <v>16</v>
      </c>
      <c r="E49" s="29" t="s">
        <v>135</v>
      </c>
      <c r="F49" s="30" t="s">
        <v>134</v>
      </c>
      <c r="G49" s="30" t="s">
        <v>136</v>
      </c>
      <c r="H49" s="31" t="s">
        <v>137</v>
      </c>
      <c r="I49" s="30">
        <v>0</v>
      </c>
      <c r="J49" s="30">
        <v>0</v>
      </c>
      <c r="K49" s="32">
        <v>98.1</v>
      </c>
      <c r="L49" s="28">
        <f t="shared" si="4"/>
        <v>98.1</v>
      </c>
      <c r="M49" s="29"/>
      <c r="N49" s="46"/>
      <c r="O49" s="46"/>
      <c r="P49" s="29"/>
      <c r="Q49" s="51"/>
      <c r="R49" s="30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0"/>
    </row>
    <row r="50" spans="1:33" x14ac:dyDescent="0.45">
      <c r="A50" s="29">
        <f t="shared" si="5"/>
        <v>12</v>
      </c>
      <c r="B50" s="29">
        <v>19490</v>
      </c>
      <c r="C50" s="29">
        <v>504</v>
      </c>
      <c r="D50" s="29">
        <v>17</v>
      </c>
      <c r="E50" s="29" t="s">
        <v>135</v>
      </c>
      <c r="F50" s="30" t="s">
        <v>134</v>
      </c>
      <c r="G50" s="30" t="s">
        <v>136</v>
      </c>
      <c r="H50" s="31" t="s">
        <v>137</v>
      </c>
      <c r="I50" s="30">
        <v>0</v>
      </c>
      <c r="J50" s="30">
        <v>1</v>
      </c>
      <c r="K50" s="32">
        <v>2.4</v>
      </c>
      <c r="L50" s="28">
        <f t="shared" si="4"/>
        <v>102.4</v>
      </c>
      <c r="M50" s="29"/>
      <c r="N50" s="46"/>
      <c r="O50" s="46"/>
      <c r="P50" s="29"/>
      <c r="Q50" s="51"/>
      <c r="R50" s="30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0"/>
    </row>
    <row r="51" spans="1:33" x14ac:dyDescent="0.45">
      <c r="A51" s="29">
        <f t="shared" si="5"/>
        <v>13</v>
      </c>
      <c r="B51" s="29">
        <v>19491</v>
      </c>
      <c r="C51" s="29">
        <v>503</v>
      </c>
      <c r="D51" s="29">
        <v>18</v>
      </c>
      <c r="E51" s="29" t="s">
        <v>135</v>
      </c>
      <c r="F51" s="30" t="s">
        <v>134</v>
      </c>
      <c r="G51" s="30" t="s">
        <v>136</v>
      </c>
      <c r="H51" s="31" t="s">
        <v>137</v>
      </c>
      <c r="I51" s="30">
        <v>0</v>
      </c>
      <c r="J51" s="30">
        <v>1</v>
      </c>
      <c r="K51" s="32">
        <v>27.1</v>
      </c>
      <c r="L51" s="28">
        <f t="shared" si="4"/>
        <v>127.1</v>
      </c>
      <c r="M51" s="29"/>
      <c r="N51" s="46"/>
      <c r="O51" s="46"/>
      <c r="P51" s="29"/>
      <c r="Q51" s="51"/>
      <c r="R51" s="30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0"/>
    </row>
    <row r="52" spans="1:33" x14ac:dyDescent="0.45">
      <c r="A52" s="29">
        <f t="shared" si="5"/>
        <v>14</v>
      </c>
      <c r="B52" s="29">
        <v>19492</v>
      </c>
      <c r="C52" s="29">
        <v>502</v>
      </c>
      <c r="D52" s="29">
        <v>19</v>
      </c>
      <c r="E52" s="29" t="s">
        <v>135</v>
      </c>
      <c r="F52" s="30" t="s">
        <v>134</v>
      </c>
      <c r="G52" s="30" t="s">
        <v>136</v>
      </c>
      <c r="H52" s="31" t="s">
        <v>137</v>
      </c>
      <c r="I52" s="30">
        <v>0</v>
      </c>
      <c r="J52" s="30">
        <v>2</v>
      </c>
      <c r="K52" s="32">
        <v>56.1</v>
      </c>
      <c r="L52" s="28">
        <f t="shared" si="4"/>
        <v>256.10000000000002</v>
      </c>
      <c r="M52" s="29"/>
      <c r="N52" s="46"/>
      <c r="O52" s="46"/>
      <c r="P52" s="29"/>
      <c r="Q52" s="51"/>
      <c r="R52" s="30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0"/>
    </row>
    <row r="53" spans="1:33" x14ac:dyDescent="0.45">
      <c r="A53" s="29">
        <f t="shared" si="5"/>
        <v>15</v>
      </c>
      <c r="B53" s="29">
        <v>24265</v>
      </c>
      <c r="C53" s="29">
        <v>515</v>
      </c>
      <c r="D53" s="29">
        <v>65</v>
      </c>
      <c r="E53" s="29" t="s">
        <v>135</v>
      </c>
      <c r="F53" s="30" t="s">
        <v>134</v>
      </c>
      <c r="G53" s="30" t="s">
        <v>136</v>
      </c>
      <c r="H53" s="31" t="s">
        <v>137</v>
      </c>
      <c r="I53" s="30">
        <v>7</v>
      </c>
      <c r="J53" s="30">
        <v>2</v>
      </c>
      <c r="K53" s="32">
        <v>52.1</v>
      </c>
      <c r="L53" s="28">
        <f t="shared" si="4"/>
        <v>3052.1</v>
      </c>
      <c r="M53" s="29"/>
      <c r="N53" s="46"/>
      <c r="O53" s="46"/>
      <c r="P53" s="29"/>
      <c r="Q53" s="51"/>
      <c r="R53" s="30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440" t="s">
        <v>289</v>
      </c>
    </row>
    <row r="54" spans="1:33" x14ac:dyDescent="0.45">
      <c r="A54" s="60">
        <f t="shared" si="5"/>
        <v>16</v>
      </c>
      <c r="B54" s="60">
        <v>28655</v>
      </c>
      <c r="C54" s="60">
        <v>517</v>
      </c>
      <c r="D54" s="60">
        <v>143</v>
      </c>
      <c r="E54" s="60" t="s">
        <v>135</v>
      </c>
      <c r="F54" s="61" t="s">
        <v>134</v>
      </c>
      <c r="G54" s="61" t="s">
        <v>136</v>
      </c>
      <c r="H54" s="62" t="s">
        <v>137</v>
      </c>
      <c r="I54" s="61">
        <v>1</v>
      </c>
      <c r="J54" s="61">
        <v>1</v>
      </c>
      <c r="K54" s="63">
        <v>44.9</v>
      </c>
      <c r="L54" s="63">
        <f t="shared" si="4"/>
        <v>544.9</v>
      </c>
      <c r="M54" s="60"/>
      <c r="N54" s="64"/>
      <c r="O54" s="64"/>
      <c r="P54" s="60"/>
      <c r="Q54" s="65"/>
      <c r="R54" s="61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441"/>
    </row>
    <row r="56" spans="1:33" s="37" customFormat="1" x14ac:dyDescent="0.45">
      <c r="A56" s="20"/>
      <c r="C56" s="20"/>
      <c r="D56" s="20"/>
      <c r="E56" s="20"/>
      <c r="F56" s="20"/>
      <c r="G56" s="20"/>
      <c r="H56" s="20"/>
      <c r="I56" s="20"/>
      <c r="J56" s="20"/>
      <c r="K56" s="22"/>
      <c r="L56" s="22"/>
      <c r="M56" s="20"/>
      <c r="N56" s="50"/>
      <c r="O56" s="50"/>
      <c r="Q56" s="53"/>
      <c r="R56" s="20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0"/>
      <c r="AG56" s="20"/>
    </row>
    <row r="57" spans="1:33" s="37" customFormat="1" x14ac:dyDescent="0.45">
      <c r="A57" s="20"/>
      <c r="C57" s="20"/>
      <c r="D57" s="20"/>
      <c r="E57" s="20"/>
      <c r="F57" s="20"/>
      <c r="G57" s="20"/>
      <c r="H57" s="20"/>
      <c r="I57" s="20"/>
      <c r="J57" s="20"/>
      <c r="K57" s="22"/>
      <c r="L57" s="22"/>
      <c r="Q57" s="53"/>
      <c r="R57" s="20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0"/>
      <c r="AG57" s="20"/>
    </row>
  </sheetData>
  <autoFilter ref="A4:AF54" xr:uid="{00000000-0009-0000-0000-000002000000}"/>
  <mergeCells count="22">
    <mergeCell ref="AF53:AF54"/>
    <mergeCell ref="A1:AF1"/>
    <mergeCell ref="A3:A4"/>
    <mergeCell ref="B3:B4"/>
    <mergeCell ref="C3:C4"/>
    <mergeCell ref="D3:D4"/>
    <mergeCell ref="E3:E4"/>
    <mergeCell ref="F3:F4"/>
    <mergeCell ref="G3:G4"/>
    <mergeCell ref="H3:H4"/>
    <mergeCell ref="I3:K3"/>
    <mergeCell ref="AF3:AF4"/>
    <mergeCell ref="A38:AF38"/>
    <mergeCell ref="A36:AF36"/>
    <mergeCell ref="A7:AF7"/>
    <mergeCell ref="M3:M4"/>
    <mergeCell ref="A5:AF5"/>
    <mergeCell ref="N3:N4"/>
    <mergeCell ref="O3:O4"/>
    <mergeCell ref="Q3:Q4"/>
    <mergeCell ref="R3:R4"/>
    <mergeCell ref="S3:AE3"/>
  </mergeCells>
  <pageMargins left="0.15748031496062992" right="0.19685039370078741" top="0.31496062992125984" bottom="0.27559055118110237" header="0.31496062992125984" footer="0.31496062992125984"/>
  <pageSetup paperSize="5" scale="57" orientation="landscape" r:id="rId1"/>
  <headerFooter>
    <oddHeader>&amp;Rหน้า 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8B50-EC6A-42F2-9DE3-08A6183ACC1F}">
  <dimension ref="A1:Y35"/>
  <sheetViews>
    <sheetView zoomScale="50" zoomScaleNormal="50" workbookViewId="0">
      <pane ySplit="2" topLeftCell="A3" activePane="bottomLeft" state="frozen"/>
      <selection activeCell="L14" sqref="L14"/>
      <selection pane="bottomLeft" activeCell="Q23" sqref="Q23"/>
    </sheetView>
  </sheetViews>
  <sheetFormatPr defaultRowHeight="39.75" x14ac:dyDescent="0.8"/>
  <cols>
    <col min="1" max="1" width="10.375" style="241" customWidth="1"/>
    <col min="2" max="2" width="9.625" style="241" customWidth="1"/>
    <col min="3" max="3" width="5.375" style="241" customWidth="1"/>
    <col min="4" max="4" width="13.125" style="241" customWidth="1"/>
    <col min="5" max="5" width="53.5" style="241" customWidth="1"/>
    <col min="6" max="6" width="14.25" style="241" customWidth="1"/>
    <col min="7" max="7" width="37.125" style="241" customWidth="1"/>
    <col min="8" max="8" width="44.25" style="241" customWidth="1"/>
    <col min="9" max="9" width="1.25" style="241" customWidth="1"/>
    <col min="10" max="10" width="45.375" style="241" customWidth="1"/>
    <col min="11" max="11" width="1.5" style="241" customWidth="1"/>
    <col min="12" max="12" width="47.625" style="241" customWidth="1"/>
    <col min="13" max="13" width="51.75" style="241" customWidth="1"/>
    <col min="14" max="14" width="2.375" style="241" hidden="1" customWidth="1"/>
    <col min="15" max="15" width="26.125" style="241" hidden="1" customWidth="1"/>
    <col min="16" max="16" width="2.75" style="241" hidden="1" customWidth="1"/>
    <col min="17" max="17" width="36.5" style="241" customWidth="1"/>
    <col min="18" max="18" width="23.5" style="241" bestFit="1" customWidth="1"/>
    <col min="19" max="20" width="9" style="241"/>
    <col min="21" max="21" width="17" style="241" bestFit="1" customWidth="1"/>
    <col min="22" max="16384" width="9" style="241"/>
  </cols>
  <sheetData>
    <row r="1" spans="1:25" s="254" customFormat="1" ht="64.5" x14ac:dyDescent="1.1499999999999999">
      <c r="A1" s="451" t="s">
        <v>416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256"/>
      <c r="S1" s="256"/>
      <c r="T1" s="256"/>
      <c r="U1" s="256"/>
      <c r="V1" s="256"/>
      <c r="W1" s="256"/>
    </row>
    <row r="2" spans="1:25" ht="15" customHeight="1" x14ac:dyDescent="0.8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3"/>
      <c r="P2" s="243"/>
      <c r="Q2" s="242"/>
      <c r="R2" s="242"/>
      <c r="S2" s="242"/>
      <c r="T2" s="242"/>
      <c r="U2" s="242"/>
      <c r="V2" s="242"/>
      <c r="W2" s="242"/>
    </row>
    <row r="3" spans="1:25" ht="50.25" customHeight="1" x14ac:dyDescent="1.1499999999999999">
      <c r="A3" s="250"/>
      <c r="B3" s="301" t="s">
        <v>417</v>
      </c>
      <c r="C3" s="301"/>
      <c r="D3" s="305"/>
      <c r="E3" s="305"/>
      <c r="F3" s="305"/>
      <c r="G3" s="305"/>
      <c r="H3" s="304"/>
      <c r="I3" s="304"/>
      <c r="J3" s="304">
        <f>+'5-69'!E48</f>
        <v>304174</v>
      </c>
      <c r="K3" s="254"/>
      <c r="L3" s="452" t="s">
        <v>317</v>
      </c>
      <c r="M3" s="453"/>
      <c r="N3" s="453"/>
      <c r="O3" s="453"/>
      <c r="P3" s="453"/>
      <c r="Q3" s="453"/>
      <c r="R3" s="270"/>
      <c r="S3" s="270"/>
      <c r="T3" s="270"/>
      <c r="U3" s="270"/>
      <c r="V3" s="244"/>
      <c r="W3" s="244"/>
    </row>
    <row r="4" spans="1:25" ht="51.75" customHeight="1" x14ac:dyDescent="1.1499999999999999">
      <c r="A4" s="250"/>
      <c r="B4" s="306" t="s">
        <v>339</v>
      </c>
      <c r="C4" s="301"/>
      <c r="D4" s="301"/>
      <c r="E4" s="305"/>
      <c r="F4" s="305"/>
      <c r="G4" s="305"/>
      <c r="H4" s="304"/>
      <c r="I4" s="304"/>
      <c r="J4" s="307"/>
      <c r="K4" s="255"/>
      <c r="L4" s="311" t="s">
        <v>276</v>
      </c>
      <c r="M4" s="302"/>
      <c r="N4" s="302"/>
      <c r="O4" s="302"/>
      <c r="P4" s="302"/>
      <c r="Q4" s="312">
        <f>+H26</f>
        <v>86620</v>
      </c>
      <c r="R4" s="254"/>
      <c r="S4" s="244"/>
      <c r="T4" s="244"/>
      <c r="U4" s="244"/>
      <c r="V4" s="244"/>
      <c r="W4" s="244"/>
      <c r="X4" s="244"/>
      <c r="Y4" s="244"/>
    </row>
    <row r="5" spans="1:25" ht="51.75" customHeight="1" x14ac:dyDescent="1.1499999999999999">
      <c r="A5" s="250"/>
      <c r="B5" s="301"/>
      <c r="C5" s="301"/>
      <c r="D5" s="301" t="s">
        <v>425</v>
      </c>
      <c r="E5" s="305"/>
      <c r="F5" s="305"/>
      <c r="G5" s="302"/>
      <c r="H5" s="304">
        <v>4888</v>
      </c>
      <c r="I5" s="308"/>
      <c r="J5" s="307"/>
      <c r="K5" s="255"/>
      <c r="L5" s="311" t="s">
        <v>306</v>
      </c>
      <c r="M5" s="302"/>
      <c r="N5" s="302"/>
      <c r="O5" s="302"/>
      <c r="P5" s="302"/>
      <c r="Q5" s="312">
        <f>+J26</f>
        <v>72200</v>
      </c>
      <c r="R5" s="254"/>
      <c r="S5" s="244"/>
      <c r="T5" s="244"/>
      <c r="U5" s="244"/>
      <c r="V5" s="244"/>
      <c r="W5" s="244"/>
      <c r="X5" s="244"/>
      <c r="Y5" s="244"/>
    </row>
    <row r="6" spans="1:25" ht="51.75" customHeight="1" x14ac:dyDescent="1.1499999999999999">
      <c r="A6" s="250"/>
      <c r="B6" s="301"/>
      <c r="C6" s="301"/>
      <c r="D6" s="301" t="s">
        <v>426</v>
      </c>
      <c r="E6" s="305"/>
      <c r="F6" s="305"/>
      <c r="G6" s="302"/>
      <c r="H6" s="304">
        <v>26000</v>
      </c>
      <c r="I6" s="308"/>
      <c r="J6" s="307"/>
      <c r="K6" s="255"/>
      <c r="L6" s="311" t="s">
        <v>302</v>
      </c>
      <c r="M6" s="302"/>
      <c r="N6" s="302"/>
      <c r="O6" s="302"/>
      <c r="P6" s="302"/>
      <c r="Q6" s="312">
        <f>+L26</f>
        <v>102594</v>
      </c>
      <c r="R6" s="254"/>
      <c r="S6" s="244"/>
      <c r="T6" s="244"/>
      <c r="U6" s="244"/>
      <c r="V6" s="244"/>
      <c r="W6" s="244"/>
      <c r="X6" s="244"/>
      <c r="Y6" s="244"/>
    </row>
    <row r="7" spans="1:25" ht="51.75" customHeight="1" x14ac:dyDescent="1.1499999999999999">
      <c r="A7" s="250"/>
      <c r="B7" s="301"/>
      <c r="C7" s="301"/>
      <c r="D7" s="301" t="s">
        <v>428</v>
      </c>
      <c r="E7" s="305"/>
      <c r="F7" s="305"/>
      <c r="G7" s="302"/>
      <c r="H7" s="364">
        <v>50000</v>
      </c>
      <c r="I7" s="308"/>
      <c r="J7" s="364">
        <f>SUM(H5:H7)</f>
        <v>80888</v>
      </c>
      <c r="K7" s="255"/>
      <c r="L7" s="311" t="s">
        <v>351</v>
      </c>
      <c r="M7" s="302"/>
      <c r="N7" s="302"/>
      <c r="O7" s="302"/>
      <c r="P7" s="302"/>
      <c r="Q7" s="312">
        <f>+M26</f>
        <v>36288</v>
      </c>
      <c r="R7" s="254"/>
      <c r="S7" s="244"/>
      <c r="T7" s="244"/>
      <c r="U7" s="244"/>
      <c r="V7" s="244"/>
      <c r="W7" s="244"/>
      <c r="X7" s="244"/>
      <c r="Y7" s="244"/>
    </row>
    <row r="8" spans="1:25" ht="51.75" customHeight="1" thickBot="1" x14ac:dyDescent="1.2">
      <c r="A8" s="250"/>
      <c r="B8" s="301" t="s">
        <v>402</v>
      </c>
      <c r="C8" s="301"/>
      <c r="D8" s="301"/>
      <c r="E8" s="305"/>
      <c r="F8" s="305"/>
      <c r="G8" s="302"/>
      <c r="H8" s="304"/>
      <c r="I8" s="304"/>
      <c r="J8" s="304">
        <f>+J3+J7</f>
        <v>385062</v>
      </c>
      <c r="K8" s="255"/>
      <c r="L8" s="313" t="s">
        <v>328</v>
      </c>
      <c r="M8" s="302"/>
      <c r="N8" s="302"/>
      <c r="O8" s="302"/>
      <c r="P8" s="302"/>
      <c r="Q8" s="314">
        <f>SUM(Q4:Q7)</f>
        <v>297702</v>
      </c>
      <c r="R8" s="267">
        <f>+Q8-242877</f>
        <v>54825</v>
      </c>
      <c r="S8" s="244"/>
      <c r="T8" s="244"/>
      <c r="U8" s="244"/>
      <c r="V8" s="244"/>
      <c r="W8" s="244"/>
      <c r="X8" s="244"/>
      <c r="Y8" s="244"/>
    </row>
    <row r="9" spans="1:25" ht="51.75" customHeight="1" x14ac:dyDescent="1.05">
      <c r="A9" s="251"/>
      <c r="B9" s="306" t="s">
        <v>340</v>
      </c>
      <c r="C9" s="301" t="s">
        <v>285</v>
      </c>
      <c r="D9" s="301"/>
      <c r="E9" s="305"/>
      <c r="F9" s="305"/>
      <c r="G9" s="302"/>
      <c r="H9" s="303"/>
      <c r="I9" s="307"/>
      <c r="J9" s="303"/>
      <c r="K9" s="255"/>
      <c r="L9" s="311" t="s">
        <v>318</v>
      </c>
      <c r="Q9" s="312">
        <f>+F23</f>
        <v>27000</v>
      </c>
      <c r="R9" s="245"/>
      <c r="S9" s="244"/>
      <c r="T9" s="244"/>
      <c r="U9" s="244"/>
      <c r="V9" s="244"/>
      <c r="W9" s="244"/>
      <c r="X9" s="244"/>
      <c r="Y9" s="244"/>
    </row>
    <row r="10" spans="1:25" ht="51.75" customHeight="1" thickBot="1" x14ac:dyDescent="1.2">
      <c r="A10" s="251"/>
      <c r="D10" s="301" t="s">
        <v>358</v>
      </c>
      <c r="E10" s="302"/>
      <c r="F10" s="302"/>
      <c r="G10" s="309"/>
      <c r="H10" s="303">
        <v>-40000</v>
      </c>
      <c r="I10" s="304"/>
      <c r="J10" s="309"/>
      <c r="K10" s="255"/>
      <c r="L10" s="315" t="s">
        <v>367</v>
      </c>
      <c r="Q10" s="316">
        <f>SUM(Q8:Q9)</f>
        <v>324702</v>
      </c>
      <c r="R10" s="267">
        <f>+Q10-Q23</f>
        <v>0</v>
      </c>
      <c r="S10" s="244"/>
      <c r="T10" s="244"/>
      <c r="U10" s="244"/>
      <c r="V10" s="244"/>
      <c r="W10" s="244"/>
      <c r="X10" s="244"/>
      <c r="Y10" s="244"/>
    </row>
    <row r="11" spans="1:25" ht="51.75" customHeight="1" thickTop="1" x14ac:dyDescent="1.1499999999999999">
      <c r="A11" s="251"/>
      <c r="D11" s="301" t="s">
        <v>399</v>
      </c>
      <c r="E11" s="302"/>
      <c r="F11" s="302"/>
      <c r="G11" s="309"/>
      <c r="H11" s="309">
        <v>-6000</v>
      </c>
      <c r="I11" s="304"/>
      <c r="J11" s="309"/>
      <c r="K11" s="255"/>
      <c r="L11" s="246"/>
      <c r="R11" s="254"/>
      <c r="V11" s="244"/>
      <c r="W11" s="244"/>
      <c r="X11" s="244"/>
      <c r="Y11" s="244"/>
    </row>
    <row r="12" spans="1:25" ht="51.75" customHeight="1" x14ac:dyDescent="1.1499999999999999">
      <c r="A12" s="251"/>
      <c r="D12" s="301" t="s">
        <v>396</v>
      </c>
      <c r="E12" s="302"/>
      <c r="F12" s="302"/>
      <c r="G12" s="309"/>
      <c r="H12" s="309">
        <v>-400</v>
      </c>
      <c r="I12" s="304"/>
      <c r="J12" s="309"/>
      <c r="K12" s="255"/>
      <c r="L12" s="315"/>
      <c r="R12" s="254"/>
      <c r="V12" s="244"/>
      <c r="W12" s="244"/>
      <c r="X12" s="244"/>
      <c r="Y12" s="244"/>
    </row>
    <row r="13" spans="1:25" ht="51.75" customHeight="1" x14ac:dyDescent="1.1499999999999999">
      <c r="A13" s="251"/>
      <c r="D13" s="301" t="s">
        <v>397</v>
      </c>
      <c r="E13" s="302"/>
      <c r="F13" s="302"/>
      <c r="G13" s="309"/>
      <c r="H13" s="309">
        <v>-1500</v>
      </c>
      <c r="I13" s="304"/>
      <c r="J13" s="309"/>
      <c r="K13" s="255"/>
      <c r="L13" s="246"/>
      <c r="R13" s="254"/>
      <c r="V13" s="244"/>
      <c r="W13" s="244"/>
      <c r="X13" s="244"/>
      <c r="Y13" s="244"/>
    </row>
    <row r="14" spans="1:25" ht="51.75" customHeight="1" x14ac:dyDescent="1.1499999999999999">
      <c r="A14" s="251"/>
      <c r="D14" s="301" t="s">
        <v>398</v>
      </c>
      <c r="E14" s="302"/>
      <c r="F14" s="302"/>
      <c r="G14" s="309"/>
      <c r="H14" s="303">
        <v>-600</v>
      </c>
      <c r="I14" s="304"/>
      <c r="J14" s="309"/>
      <c r="K14" s="255"/>
      <c r="L14" s="246"/>
      <c r="R14" s="254"/>
      <c r="V14" s="244"/>
      <c r="W14" s="244"/>
      <c r="X14" s="244"/>
      <c r="Y14" s="244"/>
    </row>
    <row r="15" spans="1:25" ht="51.75" customHeight="1" x14ac:dyDescent="1.1499999999999999">
      <c r="A15" s="251"/>
      <c r="D15" s="301" t="s">
        <v>427</v>
      </c>
      <c r="E15" s="302"/>
      <c r="F15" s="302"/>
      <c r="G15" s="309"/>
      <c r="H15" s="303">
        <v>-6500</v>
      </c>
      <c r="I15" s="304"/>
      <c r="J15" s="309"/>
      <c r="K15" s="255"/>
      <c r="L15" s="246"/>
      <c r="R15" s="254"/>
      <c r="V15" s="244"/>
      <c r="W15" s="244"/>
      <c r="X15" s="244"/>
      <c r="Y15" s="244"/>
    </row>
    <row r="16" spans="1:25" ht="51.75" customHeight="1" x14ac:dyDescent="1.1499999999999999">
      <c r="A16" s="251"/>
      <c r="D16" s="301" t="s">
        <v>401</v>
      </c>
      <c r="H16" s="310">
        <v>-5360</v>
      </c>
      <c r="I16" s="304"/>
      <c r="J16" s="309">
        <f>SUM(H10:H16)</f>
        <v>-60360</v>
      </c>
      <c r="K16" s="255"/>
      <c r="L16" s="246"/>
      <c r="R16" s="254"/>
      <c r="V16" s="244"/>
      <c r="W16" s="244"/>
      <c r="X16" s="244"/>
      <c r="Y16" s="244"/>
    </row>
    <row r="17" spans="1:25" ht="51.75" customHeight="1" thickBot="1" x14ac:dyDescent="1.2">
      <c r="B17" s="268" t="s">
        <v>329</v>
      </c>
      <c r="C17" s="254"/>
      <c r="D17" s="266"/>
      <c r="E17" s="254"/>
      <c r="F17" s="254"/>
      <c r="G17" s="254"/>
      <c r="H17" s="254"/>
      <c r="I17" s="267"/>
      <c r="J17" s="269">
        <f>SUM(J8:J16)</f>
        <v>324702</v>
      </c>
      <c r="K17" s="255"/>
      <c r="L17" s="246"/>
      <c r="U17" s="329"/>
    </row>
    <row r="18" spans="1:25" ht="25.5" customHeight="1" thickTop="1" x14ac:dyDescent="1.05">
      <c r="B18" s="251"/>
      <c r="C18" s="251"/>
      <c r="D18" s="252"/>
      <c r="E18" s="251"/>
      <c r="F18" s="251"/>
      <c r="G18" s="251"/>
      <c r="H18" s="253"/>
      <c r="I18" s="253"/>
      <c r="J18" s="376">
        <f>+J17-'5-69'!K48</f>
        <v>0</v>
      </c>
      <c r="K18" s="255"/>
      <c r="R18" s="245"/>
      <c r="U18" s="247"/>
    </row>
    <row r="19" spans="1:25" ht="57" x14ac:dyDescent="0.85">
      <c r="A19" s="308"/>
      <c r="B19" s="317"/>
      <c r="C19" s="317"/>
      <c r="D19" s="317"/>
      <c r="E19" s="317"/>
      <c r="F19" s="458" t="s">
        <v>337</v>
      </c>
      <c r="G19" s="458"/>
      <c r="H19" s="458"/>
      <c r="I19" s="458"/>
      <c r="J19" s="458"/>
      <c r="K19" s="458"/>
      <c r="L19" s="458"/>
      <c r="M19" s="458"/>
      <c r="N19" s="458"/>
      <c r="O19" s="458"/>
      <c r="P19" s="458"/>
      <c r="Q19" s="458"/>
      <c r="R19" s="245"/>
      <c r="U19" s="336"/>
      <c r="V19" s="247"/>
    </row>
    <row r="20" spans="1:25" ht="51" x14ac:dyDescent="0.85">
      <c r="A20" s="308"/>
      <c r="B20" s="318"/>
      <c r="C20" s="318"/>
      <c r="D20" s="318"/>
      <c r="E20" s="318"/>
      <c r="F20" s="454" t="s">
        <v>342</v>
      </c>
      <c r="G20" s="454"/>
      <c r="H20" s="319" t="s">
        <v>341</v>
      </c>
      <c r="I20" s="319"/>
      <c r="J20" s="319" t="s">
        <v>346</v>
      </c>
      <c r="K20" s="320"/>
      <c r="L20" s="319" t="s">
        <v>347</v>
      </c>
      <c r="M20" s="319" t="s">
        <v>338</v>
      </c>
      <c r="N20" s="454" t="s">
        <v>364</v>
      </c>
      <c r="O20" s="454"/>
      <c r="P20" s="454"/>
      <c r="Q20" s="455" t="s">
        <v>28</v>
      </c>
      <c r="R20" s="245"/>
      <c r="T20" s="247"/>
      <c r="U20" s="248"/>
      <c r="V20" s="248"/>
      <c r="W20" s="247"/>
      <c r="X20" s="247"/>
    </row>
    <row r="21" spans="1:25" ht="53.25" x14ac:dyDescent="0.85">
      <c r="A21" s="317"/>
      <c r="B21" s="317"/>
      <c r="C21" s="317"/>
      <c r="D21" s="317"/>
      <c r="E21" s="317"/>
      <c r="F21" s="456" t="s">
        <v>325</v>
      </c>
      <c r="G21" s="456"/>
      <c r="H21" s="321" t="s">
        <v>242</v>
      </c>
      <c r="I21" s="321"/>
      <c r="J21" s="321" t="s">
        <v>243</v>
      </c>
      <c r="K21" s="320"/>
      <c r="L21" s="322" t="s">
        <v>312</v>
      </c>
      <c r="M21" s="322" t="s">
        <v>313</v>
      </c>
      <c r="N21" s="457" t="s">
        <v>365</v>
      </c>
      <c r="O21" s="457"/>
      <c r="P21" s="457"/>
      <c r="Q21" s="455"/>
      <c r="R21" s="245">
        <f>+Q23-'4-69'!K47</f>
        <v>61325</v>
      </c>
      <c r="T21" s="247"/>
      <c r="U21" s="248"/>
      <c r="V21" s="336"/>
      <c r="W21" s="247"/>
      <c r="X21" s="247"/>
      <c r="Y21" s="247"/>
    </row>
    <row r="22" spans="1:25" ht="53.25" customHeight="1" x14ac:dyDescent="0.85">
      <c r="A22" s="302" t="s">
        <v>256</v>
      </c>
      <c r="B22" s="302"/>
      <c r="C22" s="302"/>
      <c r="D22" s="302"/>
      <c r="E22" s="302"/>
      <c r="F22" s="459">
        <v>417117.71</v>
      </c>
      <c r="G22" s="459"/>
      <c r="H22" s="309">
        <v>1029.31</v>
      </c>
      <c r="I22" s="309">
        <v>0</v>
      </c>
      <c r="J22" s="309">
        <v>521.62</v>
      </c>
      <c r="K22" s="320"/>
      <c r="L22" s="309">
        <v>616.63</v>
      </c>
      <c r="M22" s="309">
        <v>539.42999999999995</v>
      </c>
      <c r="N22" s="309"/>
      <c r="O22" s="309"/>
      <c r="P22" s="309"/>
      <c r="Q22" s="323">
        <f>+M22+L22+J22+H22+F22</f>
        <v>419824.7</v>
      </c>
      <c r="R22" s="245"/>
      <c r="T22" s="248"/>
      <c r="U22" s="248"/>
      <c r="V22" s="248"/>
      <c r="W22" s="248"/>
      <c r="X22" s="248"/>
      <c r="Y22" s="247"/>
    </row>
    <row r="23" spans="1:25" s="247" customFormat="1" ht="56.25" customHeight="1" x14ac:dyDescent="0.85">
      <c r="A23" s="302" t="s">
        <v>344</v>
      </c>
      <c r="B23" s="302"/>
      <c r="C23" s="302"/>
      <c r="D23" s="302"/>
      <c r="E23" s="302"/>
      <c r="F23" s="460">
        <f>+'1-69'!L48</f>
        <v>27000</v>
      </c>
      <c r="G23" s="460"/>
      <c r="H23" s="310">
        <f>+'5-69'!M48</f>
        <v>86620</v>
      </c>
      <c r="I23" s="310"/>
      <c r="J23" s="310">
        <f>+'5-69'!N48</f>
        <v>72200</v>
      </c>
      <c r="K23" s="365"/>
      <c r="L23" s="324">
        <f>+'5-69'!O48</f>
        <v>102594</v>
      </c>
      <c r="M23" s="324">
        <f>+'5-69'!P48</f>
        <v>36288</v>
      </c>
      <c r="N23" s="324"/>
      <c r="O23" s="324"/>
      <c r="P23" s="324"/>
      <c r="Q23" s="325">
        <f>+M23+L23+J23+H23+F23</f>
        <v>324702</v>
      </c>
      <c r="R23" s="245"/>
      <c r="S23" s="241"/>
      <c r="T23" s="241"/>
      <c r="U23" s="241"/>
      <c r="V23" s="248"/>
      <c r="W23" s="336"/>
      <c r="X23" s="336"/>
      <c r="Y23" s="248"/>
    </row>
    <row r="24" spans="1:25" s="247" customFormat="1" ht="56.25" hidden="1" customHeight="1" x14ac:dyDescent="0.85">
      <c r="A24" s="302" t="s">
        <v>350</v>
      </c>
      <c r="B24" s="302"/>
      <c r="C24" s="302"/>
      <c r="D24" s="302"/>
      <c r="E24" s="302"/>
      <c r="F24" s="460">
        <v>0</v>
      </c>
      <c r="G24" s="460"/>
      <c r="H24" s="310">
        <v>0</v>
      </c>
      <c r="I24" s="303"/>
      <c r="J24" s="310">
        <v>0</v>
      </c>
      <c r="K24" s="320"/>
      <c r="L24" s="324"/>
      <c r="M24" s="324"/>
      <c r="N24" s="324"/>
      <c r="O24" s="324"/>
      <c r="P24" s="324"/>
      <c r="Q24" s="345">
        <f>+F24+H24+J24+L24+M24</f>
        <v>0</v>
      </c>
      <c r="R24" s="245">
        <f>+Q26-'สรุป5-69'!Q8</f>
        <v>0</v>
      </c>
      <c r="S24" s="241"/>
      <c r="T24" s="241"/>
      <c r="U24" s="241"/>
      <c r="V24" s="248"/>
      <c r="W24" s="248"/>
      <c r="X24" s="248"/>
      <c r="Y24" s="336"/>
    </row>
    <row r="25" spans="1:25" s="248" customFormat="1" ht="56.25" customHeight="1" x14ac:dyDescent="0.85">
      <c r="A25" s="302" t="s">
        <v>320</v>
      </c>
      <c r="B25" s="302"/>
      <c r="C25" s="302"/>
      <c r="D25" s="302"/>
      <c r="E25" s="302"/>
      <c r="F25" s="459">
        <f>SUM(F22:G24)</f>
        <v>444117.71</v>
      </c>
      <c r="G25" s="459"/>
      <c r="H25" s="309">
        <f>SUM(H22:I24)</f>
        <v>87649.31</v>
      </c>
      <c r="I25" s="309"/>
      <c r="J25" s="309">
        <f>SUM(J22:K24)</f>
        <v>72721.62</v>
      </c>
      <c r="K25" s="309"/>
      <c r="L25" s="326">
        <f>SUM(L22:L24)</f>
        <v>103210.63</v>
      </c>
      <c r="M25" s="326">
        <f>SUM(M22:M24)</f>
        <v>36827.43</v>
      </c>
      <c r="N25" s="326"/>
      <c r="O25" s="326"/>
      <c r="P25" s="326"/>
      <c r="Q25" s="327">
        <f>SUM(F22:M22)</f>
        <v>419824.7</v>
      </c>
      <c r="R25" s="245"/>
      <c r="S25" s="241"/>
      <c r="T25" s="241"/>
      <c r="U25" s="241"/>
    </row>
    <row r="26" spans="1:25" s="336" customFormat="1" ht="56.25" customHeight="1" x14ac:dyDescent="0.85">
      <c r="A26" s="302" t="s">
        <v>345</v>
      </c>
      <c r="B26" s="308"/>
      <c r="C26" s="308"/>
      <c r="D26" s="308"/>
      <c r="E26" s="308"/>
      <c r="F26" s="461"/>
      <c r="G26" s="461"/>
      <c r="H26" s="303">
        <f>+H23</f>
        <v>86620</v>
      </c>
      <c r="I26" s="303">
        <f>+I23</f>
        <v>0</v>
      </c>
      <c r="J26" s="303">
        <f>+J23</f>
        <v>72200</v>
      </c>
      <c r="K26" s="320"/>
      <c r="L26" s="303">
        <f>+L23</f>
        <v>102594</v>
      </c>
      <c r="M26" s="303">
        <f>+M23</f>
        <v>36288</v>
      </c>
      <c r="N26" s="303"/>
      <c r="O26" s="303"/>
      <c r="P26" s="303"/>
      <c r="Q26" s="328">
        <f>+M26+L26+J26+H26+O26</f>
        <v>297702</v>
      </c>
      <c r="R26" s="245">
        <f>+Q26-297702</f>
        <v>0</v>
      </c>
      <c r="S26" s="241"/>
      <c r="T26" s="241"/>
      <c r="U26" s="241"/>
      <c r="V26" s="241"/>
    </row>
    <row r="27" spans="1:25" s="248" customFormat="1" ht="56.25" customHeight="1" thickBot="1" x14ac:dyDescent="0.9">
      <c r="A27" s="302" t="s">
        <v>429</v>
      </c>
      <c r="B27" s="308"/>
      <c r="C27" s="308"/>
      <c r="D27" s="308"/>
      <c r="E27" s="308"/>
      <c r="F27" s="450">
        <f>+F25</f>
        <v>444117.71</v>
      </c>
      <c r="G27" s="450"/>
      <c r="H27" s="330">
        <f>+H25-H26</f>
        <v>1029.3099999999977</v>
      </c>
      <c r="I27" s="331">
        <f>+I24</f>
        <v>0</v>
      </c>
      <c r="J27" s="330">
        <f>+J25-J26</f>
        <v>521.61999999999534</v>
      </c>
      <c r="K27" s="332"/>
      <c r="L27" s="330">
        <f>+L25-L26</f>
        <v>616.63000000000466</v>
      </c>
      <c r="M27" s="330">
        <f>+M25-M26</f>
        <v>539.43000000000029</v>
      </c>
      <c r="N27" s="330"/>
      <c r="O27" s="330"/>
      <c r="P27" s="330"/>
      <c r="Q27" s="330">
        <f>+M27+L27+J27+H27+F27</f>
        <v>446824.7</v>
      </c>
      <c r="R27" s="245"/>
      <c r="S27" s="241"/>
      <c r="T27" s="241"/>
      <c r="U27" s="241"/>
      <c r="V27" s="241"/>
    </row>
    <row r="28" spans="1:25" s="248" customFormat="1" ht="56.25" customHeight="1" x14ac:dyDescent="0.85">
      <c r="F28" s="241"/>
      <c r="G28" s="241"/>
      <c r="H28" s="241"/>
      <c r="I28" s="241"/>
      <c r="J28" s="241"/>
      <c r="K28" s="245"/>
      <c r="L28" s="241"/>
      <c r="M28" s="241"/>
      <c r="N28" s="245"/>
      <c r="R28" s="245"/>
      <c r="S28" s="241"/>
      <c r="T28" s="241"/>
      <c r="U28" s="241"/>
      <c r="V28" s="241"/>
    </row>
    <row r="29" spans="1:25" s="248" customFormat="1" ht="56.25" customHeight="1" x14ac:dyDescent="0.85">
      <c r="A29" s="336"/>
      <c r="B29" s="336"/>
      <c r="C29" s="336"/>
      <c r="D29" s="336"/>
      <c r="E29" s="336"/>
      <c r="F29" s="337"/>
      <c r="G29" s="337">
        <f>+F27-444117.71</f>
        <v>0</v>
      </c>
      <c r="H29" s="337">
        <f>+H27-1029.31</f>
        <v>-2.2737367544323206E-12</v>
      </c>
      <c r="I29" s="337"/>
      <c r="J29" s="337">
        <f>+J27-521.62</f>
        <v>-4.6611603465862572E-12</v>
      </c>
      <c r="K29" s="337"/>
      <c r="L29" s="337">
        <f>+L27-616.63</f>
        <v>4.6611603465862572E-12</v>
      </c>
      <c r="M29" s="337">
        <f>+M27-539.43</f>
        <v>0</v>
      </c>
      <c r="N29" s="337"/>
      <c r="O29" s="336"/>
      <c r="P29" s="336"/>
      <c r="Q29" s="336"/>
      <c r="R29" s="245"/>
      <c r="S29" s="241"/>
      <c r="T29" s="241"/>
      <c r="U29" s="241"/>
      <c r="V29" s="241"/>
    </row>
    <row r="30" spans="1:25" ht="46.5" customHeight="1" x14ac:dyDescent="0.85">
      <c r="H30" s="245"/>
      <c r="J30" s="245"/>
      <c r="K30" s="245"/>
      <c r="L30" s="245"/>
      <c r="M30" s="245"/>
      <c r="O30" s="248"/>
      <c r="P30" s="248"/>
      <c r="Q30" s="248"/>
      <c r="R30" s="245"/>
    </row>
    <row r="31" spans="1:25" ht="42.75" x14ac:dyDescent="0.85">
      <c r="G31" s="245"/>
      <c r="K31" s="245"/>
      <c r="O31" s="248"/>
      <c r="P31" s="248"/>
      <c r="Q31" s="248"/>
      <c r="R31" s="245"/>
    </row>
    <row r="32" spans="1:25" ht="42.75" x14ac:dyDescent="0.85">
      <c r="K32" s="245"/>
      <c r="O32" s="248"/>
      <c r="P32" s="248"/>
      <c r="Q32" s="248"/>
    </row>
    <row r="33" spans="11:11" x14ac:dyDescent="0.8">
      <c r="K33" s="245"/>
    </row>
    <row r="34" spans="11:11" x14ac:dyDescent="0.8">
      <c r="K34" s="245"/>
    </row>
    <row r="35" spans="11:11" x14ac:dyDescent="0.8">
      <c r="K35" s="245"/>
    </row>
  </sheetData>
  <mergeCells count="14">
    <mergeCell ref="F27:G27"/>
    <mergeCell ref="A1:Q1"/>
    <mergeCell ref="L3:Q3"/>
    <mergeCell ref="F20:G20"/>
    <mergeCell ref="N20:P20"/>
    <mergeCell ref="Q20:Q21"/>
    <mergeCell ref="F21:G21"/>
    <mergeCell ref="N21:P21"/>
    <mergeCell ref="F19:Q19"/>
    <mergeCell ref="F22:G22"/>
    <mergeCell ref="F23:G23"/>
    <mergeCell ref="F24:G24"/>
    <mergeCell ref="F25:G25"/>
    <mergeCell ref="F26:G26"/>
  </mergeCells>
  <pageMargins left="0.19685039370078741" right="0.11811023622047245" top="0.23622047244094491" bottom="0.11811023622047245" header="0.19685039370078741" footer="0.11811023622047245"/>
  <pageSetup paperSize="5" scale="43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2FCA-63B8-4ED0-B564-3B29FF0E3272}">
  <dimension ref="A1:Y32"/>
  <sheetViews>
    <sheetView zoomScale="50" zoomScaleNormal="50" workbookViewId="0">
      <pane ySplit="2" topLeftCell="A3" activePane="bottomLeft" state="frozen"/>
      <selection activeCell="L14" sqref="L14"/>
      <selection pane="bottomLeft" activeCell="M20" sqref="M20"/>
    </sheetView>
  </sheetViews>
  <sheetFormatPr defaultRowHeight="39.75" x14ac:dyDescent="0.8"/>
  <cols>
    <col min="1" max="1" width="10.375" style="241" customWidth="1"/>
    <col min="2" max="2" width="9.625" style="241" customWidth="1"/>
    <col min="3" max="3" width="5.375" style="241" customWidth="1"/>
    <col min="4" max="4" width="13.125" style="241" customWidth="1"/>
    <col min="5" max="5" width="53.5" style="241" customWidth="1"/>
    <col min="6" max="6" width="14.25" style="241" customWidth="1"/>
    <col min="7" max="7" width="37.125" style="241" customWidth="1"/>
    <col min="8" max="8" width="44.25" style="241" customWidth="1"/>
    <col min="9" max="9" width="1.25" style="241" customWidth="1"/>
    <col min="10" max="10" width="45.375" style="241" customWidth="1"/>
    <col min="11" max="11" width="1.5" style="241" customWidth="1"/>
    <col min="12" max="12" width="47.625" style="241" customWidth="1"/>
    <col min="13" max="13" width="51.75" style="241" customWidth="1"/>
    <col min="14" max="14" width="2.375" style="241" hidden="1" customWidth="1"/>
    <col min="15" max="15" width="26.125" style="241" hidden="1" customWidth="1"/>
    <col min="16" max="16" width="2.75" style="241" hidden="1" customWidth="1"/>
    <col min="17" max="17" width="36.5" style="241" customWidth="1"/>
    <col min="18" max="18" width="23.5" style="241" bestFit="1" customWidth="1"/>
    <col min="19" max="20" width="9" style="241"/>
    <col min="21" max="21" width="17" style="241" bestFit="1" customWidth="1"/>
    <col min="22" max="16384" width="9" style="241"/>
  </cols>
  <sheetData>
    <row r="1" spans="1:25" s="254" customFormat="1" ht="64.5" x14ac:dyDescent="1.1499999999999999">
      <c r="A1" s="451" t="s">
        <v>409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256"/>
      <c r="S1" s="256"/>
      <c r="T1" s="256"/>
      <c r="U1" s="256"/>
      <c r="V1" s="256"/>
      <c r="W1" s="256"/>
    </row>
    <row r="2" spans="1:25" ht="15" customHeight="1" x14ac:dyDescent="0.8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3"/>
      <c r="P2" s="243"/>
      <c r="Q2" s="242"/>
      <c r="R2" s="242"/>
      <c r="S2" s="242"/>
      <c r="T2" s="242"/>
      <c r="U2" s="242"/>
      <c r="V2" s="242"/>
      <c r="W2" s="242"/>
    </row>
    <row r="3" spans="1:25" ht="50.25" customHeight="1" x14ac:dyDescent="1.1499999999999999">
      <c r="A3" s="250"/>
      <c r="B3" s="301" t="s">
        <v>410</v>
      </c>
      <c r="C3" s="301"/>
      <c r="D3" s="305"/>
      <c r="E3" s="305"/>
      <c r="F3" s="305"/>
      <c r="G3" s="305"/>
      <c r="H3" s="304"/>
      <c r="I3" s="304"/>
      <c r="J3" s="304">
        <f>+'4-69'!E47</f>
        <v>298965</v>
      </c>
      <c r="K3" s="254"/>
      <c r="L3" s="452" t="s">
        <v>317</v>
      </c>
      <c r="M3" s="453"/>
      <c r="N3" s="453"/>
      <c r="O3" s="453"/>
      <c r="P3" s="453"/>
      <c r="Q3" s="453"/>
      <c r="R3" s="270"/>
      <c r="S3" s="270"/>
      <c r="T3" s="270"/>
      <c r="U3" s="270"/>
      <c r="V3" s="244"/>
      <c r="W3" s="244"/>
    </row>
    <row r="4" spans="1:25" ht="51.75" customHeight="1" x14ac:dyDescent="1.1499999999999999">
      <c r="A4" s="250"/>
      <c r="B4" s="306" t="s">
        <v>339</v>
      </c>
      <c r="C4" s="301" t="s">
        <v>354</v>
      </c>
      <c r="D4" s="301"/>
      <c r="E4" s="305"/>
      <c r="F4" s="305"/>
      <c r="G4" s="305"/>
      <c r="H4" s="304"/>
      <c r="I4" s="304"/>
      <c r="J4" s="307"/>
      <c r="K4" s="255"/>
      <c r="L4" s="311" t="s">
        <v>276</v>
      </c>
      <c r="M4" s="302"/>
      <c r="N4" s="302"/>
      <c r="O4" s="302"/>
      <c r="P4" s="302"/>
      <c r="Q4" s="312">
        <f>+H23</f>
        <v>93120</v>
      </c>
      <c r="R4" s="254"/>
      <c r="S4" s="244"/>
      <c r="T4" s="244"/>
      <c r="U4" s="244"/>
      <c r="V4" s="244"/>
      <c r="W4" s="244"/>
      <c r="X4" s="244"/>
      <c r="Y4" s="244"/>
    </row>
    <row r="5" spans="1:25" ht="51.75" customHeight="1" x14ac:dyDescent="1.1499999999999999">
      <c r="A5" s="250"/>
      <c r="B5" s="301"/>
      <c r="C5" s="301"/>
      <c r="D5" s="301" t="s">
        <v>355</v>
      </c>
      <c r="E5" s="305"/>
      <c r="F5" s="305"/>
      <c r="G5" s="302"/>
      <c r="H5" s="309">
        <v>12000</v>
      </c>
      <c r="I5" s="308"/>
      <c r="J5" s="307"/>
      <c r="K5" s="255"/>
      <c r="L5" s="311" t="s">
        <v>306</v>
      </c>
      <c r="M5" s="302"/>
      <c r="N5" s="302"/>
      <c r="O5" s="302"/>
      <c r="P5" s="302"/>
      <c r="Q5" s="312">
        <f>+J23</f>
        <v>46200</v>
      </c>
      <c r="R5" s="254"/>
      <c r="S5" s="244"/>
      <c r="T5" s="244"/>
      <c r="U5" s="244"/>
      <c r="V5" s="244"/>
      <c r="W5" s="244"/>
      <c r="X5" s="244"/>
      <c r="Y5" s="244"/>
    </row>
    <row r="6" spans="1:25" ht="51.75" customHeight="1" x14ac:dyDescent="1.1499999999999999">
      <c r="A6" s="250"/>
      <c r="B6" s="301"/>
      <c r="C6" s="301"/>
      <c r="D6" s="301" t="s">
        <v>356</v>
      </c>
      <c r="E6" s="305"/>
      <c r="F6" s="305"/>
      <c r="G6" s="302"/>
      <c r="H6" s="303">
        <v>3000</v>
      </c>
      <c r="I6" s="304"/>
      <c r="J6" s="304"/>
      <c r="K6" s="255"/>
      <c r="L6" s="311" t="s">
        <v>302</v>
      </c>
      <c r="M6" s="302"/>
      <c r="N6" s="302"/>
      <c r="O6" s="302"/>
      <c r="P6" s="302"/>
      <c r="Q6" s="312">
        <f>+L23</f>
        <v>71902</v>
      </c>
      <c r="R6" s="254"/>
      <c r="S6" s="244"/>
      <c r="T6" s="244"/>
      <c r="U6" s="244"/>
      <c r="V6" s="244"/>
      <c r="W6" s="244"/>
      <c r="X6" s="244"/>
      <c r="Y6" s="244"/>
    </row>
    <row r="7" spans="1:25" ht="51.75" customHeight="1" x14ac:dyDescent="1.1499999999999999">
      <c r="A7" s="251"/>
      <c r="D7" s="301" t="s">
        <v>357</v>
      </c>
      <c r="E7" s="305"/>
      <c r="F7" s="305"/>
      <c r="G7" s="302"/>
      <c r="H7" s="310">
        <v>1200</v>
      </c>
      <c r="I7" s="304"/>
      <c r="J7" s="310">
        <f>SUM(H5:H7)</f>
        <v>16200</v>
      </c>
      <c r="K7" s="255"/>
      <c r="L7" s="311" t="s">
        <v>351</v>
      </c>
      <c r="M7" s="302"/>
      <c r="N7" s="302"/>
      <c r="O7" s="302"/>
      <c r="P7" s="302"/>
      <c r="Q7" s="312">
        <f>+M23</f>
        <v>31655</v>
      </c>
      <c r="R7" s="254"/>
      <c r="S7" s="244"/>
      <c r="T7" s="244"/>
      <c r="U7" s="244"/>
      <c r="V7" s="244"/>
      <c r="W7" s="244"/>
      <c r="X7" s="244"/>
      <c r="Y7" s="244"/>
    </row>
    <row r="8" spans="1:25" ht="51.75" customHeight="1" thickBot="1" x14ac:dyDescent="1.2">
      <c r="A8" s="251"/>
      <c r="B8" s="301" t="s">
        <v>402</v>
      </c>
      <c r="I8" s="304"/>
      <c r="J8" s="309">
        <f>+J7+J3</f>
        <v>315165</v>
      </c>
      <c r="K8" s="255"/>
      <c r="L8" s="313" t="s">
        <v>328</v>
      </c>
      <c r="M8" s="302"/>
      <c r="N8" s="302"/>
      <c r="O8" s="302"/>
      <c r="P8" s="302"/>
      <c r="Q8" s="314">
        <f>SUM(Q4:Q7)</f>
        <v>242877</v>
      </c>
      <c r="R8" s="267">
        <f>+Q8-242877</f>
        <v>0</v>
      </c>
      <c r="S8" s="244"/>
      <c r="T8" s="244"/>
      <c r="U8" s="244"/>
      <c r="V8" s="244"/>
      <c r="W8" s="244"/>
      <c r="X8" s="244"/>
      <c r="Y8" s="244"/>
    </row>
    <row r="9" spans="1:25" ht="51.75" customHeight="1" x14ac:dyDescent="1.05">
      <c r="A9" s="251"/>
      <c r="B9" s="306" t="s">
        <v>340</v>
      </c>
      <c r="C9" s="301" t="s">
        <v>285</v>
      </c>
      <c r="D9" s="301"/>
      <c r="E9" s="305"/>
      <c r="F9" s="305"/>
      <c r="G9" s="304"/>
      <c r="H9" s="303"/>
      <c r="I9" s="304"/>
      <c r="J9" s="309"/>
      <c r="K9" s="255"/>
      <c r="L9" s="311" t="s">
        <v>318</v>
      </c>
      <c r="Q9" s="312">
        <f>+F20</f>
        <v>27000</v>
      </c>
      <c r="R9" s="245"/>
      <c r="S9" s="244"/>
      <c r="T9" s="244"/>
      <c r="U9" s="244"/>
      <c r="V9" s="244"/>
      <c r="W9" s="244"/>
      <c r="X9" s="244"/>
      <c r="Y9" s="244"/>
    </row>
    <row r="10" spans="1:25" ht="51.75" customHeight="1" thickBot="1" x14ac:dyDescent="1.2">
      <c r="A10" s="251"/>
      <c r="D10" s="301" t="s">
        <v>358</v>
      </c>
      <c r="E10" s="302"/>
      <c r="F10" s="302"/>
      <c r="G10" s="309"/>
      <c r="H10" s="303">
        <v>-40000</v>
      </c>
      <c r="I10" s="304"/>
      <c r="J10" s="309"/>
      <c r="K10" s="255"/>
      <c r="L10" s="315" t="s">
        <v>367</v>
      </c>
      <c r="Q10" s="316">
        <f>SUM(Q8:Q9)</f>
        <v>269877</v>
      </c>
      <c r="R10" s="267">
        <f>+Q10-Q20</f>
        <v>0</v>
      </c>
      <c r="S10" s="244"/>
      <c r="T10" s="244"/>
      <c r="U10" s="244"/>
      <c r="V10" s="244"/>
      <c r="W10" s="244"/>
      <c r="X10" s="244"/>
      <c r="Y10" s="244"/>
    </row>
    <row r="11" spans="1:25" ht="51.75" customHeight="1" thickTop="1" x14ac:dyDescent="1.1499999999999999">
      <c r="A11" s="251"/>
      <c r="D11" s="301" t="s">
        <v>396</v>
      </c>
      <c r="E11" s="302"/>
      <c r="F11" s="302"/>
      <c r="G11" s="309"/>
      <c r="H11" s="309">
        <v>-400</v>
      </c>
      <c r="I11" s="304"/>
      <c r="J11" s="309"/>
      <c r="K11" s="255"/>
      <c r="L11" s="315"/>
      <c r="R11" s="254"/>
      <c r="V11" s="244"/>
      <c r="W11" s="244"/>
      <c r="X11" s="244"/>
      <c r="Y11" s="244"/>
    </row>
    <row r="12" spans="1:25" ht="51.75" customHeight="1" x14ac:dyDescent="1.1499999999999999">
      <c r="A12" s="251"/>
      <c r="D12" s="301" t="s">
        <v>401</v>
      </c>
      <c r="H12" s="309">
        <v>-4888</v>
      </c>
      <c r="I12" s="304"/>
      <c r="J12" s="309">
        <f>SUM(H10:H12)</f>
        <v>-45288</v>
      </c>
      <c r="K12" s="255"/>
      <c r="L12" s="246"/>
      <c r="R12" s="254"/>
      <c r="V12" s="244"/>
      <c r="W12" s="244"/>
      <c r="X12" s="244"/>
      <c r="Y12" s="244"/>
    </row>
    <row r="13" spans="1:25" ht="51.75" customHeight="1" thickBot="1" x14ac:dyDescent="1.2">
      <c r="B13" s="268" t="s">
        <v>329</v>
      </c>
      <c r="C13" s="254"/>
      <c r="D13" s="266"/>
      <c r="E13" s="254"/>
      <c r="F13" s="254"/>
      <c r="G13" s="254"/>
      <c r="H13" s="254"/>
      <c r="I13" s="267"/>
      <c r="J13" s="269">
        <f>SUM(J8:J12)</f>
        <v>269877</v>
      </c>
      <c r="K13" s="255"/>
      <c r="L13" s="246"/>
      <c r="R13" s="254"/>
      <c r="V13" s="244"/>
      <c r="W13" s="244"/>
      <c r="X13" s="244"/>
      <c r="Y13" s="244"/>
    </row>
    <row r="14" spans="1:25" ht="51.75" customHeight="1" thickTop="1" x14ac:dyDescent="1.1499999999999999">
      <c r="B14" s="251"/>
      <c r="C14" s="251"/>
      <c r="D14" s="252"/>
      <c r="E14" s="251"/>
      <c r="F14" s="251"/>
      <c r="G14" s="251"/>
      <c r="H14" s="253"/>
      <c r="I14" s="253"/>
      <c r="J14" s="253">
        <f>+J13-'4-69'!K47</f>
        <v>6500</v>
      </c>
      <c r="K14" s="255"/>
      <c r="L14" s="246"/>
      <c r="R14" s="254"/>
      <c r="V14" s="244"/>
      <c r="W14" s="244"/>
      <c r="X14" s="244"/>
      <c r="Y14" s="244"/>
    </row>
    <row r="15" spans="1:25" ht="36.75" customHeight="1" x14ac:dyDescent="1.1499999999999999">
      <c r="B15" s="251"/>
      <c r="C15" s="251"/>
      <c r="D15" s="252"/>
      <c r="E15" s="251"/>
      <c r="F15" s="251"/>
      <c r="G15" s="251"/>
      <c r="H15" s="253"/>
      <c r="I15" s="253"/>
      <c r="J15" s="253"/>
      <c r="K15" s="343"/>
      <c r="Q15" s="254"/>
      <c r="U15" s="329"/>
    </row>
    <row r="16" spans="1:25" ht="57" x14ac:dyDescent="0.85">
      <c r="A16" s="308"/>
      <c r="B16" s="317"/>
      <c r="C16" s="317"/>
      <c r="D16" s="317"/>
      <c r="E16" s="317"/>
      <c r="F16" s="458" t="s">
        <v>337</v>
      </c>
      <c r="G16" s="458"/>
      <c r="H16" s="458"/>
      <c r="I16" s="458"/>
      <c r="J16" s="458"/>
      <c r="K16" s="458"/>
      <c r="L16" s="458"/>
      <c r="M16" s="458"/>
      <c r="N16" s="458"/>
      <c r="O16" s="458"/>
      <c r="P16" s="458"/>
      <c r="Q16" s="458"/>
      <c r="R16" s="245"/>
      <c r="U16" s="247"/>
    </row>
    <row r="17" spans="1:25" ht="51" x14ac:dyDescent="0.85">
      <c r="A17" s="308"/>
      <c r="B17" s="318"/>
      <c r="C17" s="318"/>
      <c r="D17" s="318"/>
      <c r="E17" s="318"/>
      <c r="F17" s="454" t="s">
        <v>342</v>
      </c>
      <c r="G17" s="454"/>
      <c r="H17" s="319" t="s">
        <v>341</v>
      </c>
      <c r="I17" s="319"/>
      <c r="J17" s="319" t="s">
        <v>346</v>
      </c>
      <c r="K17" s="320"/>
      <c r="L17" s="319" t="s">
        <v>347</v>
      </c>
      <c r="M17" s="319" t="s">
        <v>338</v>
      </c>
      <c r="N17" s="454" t="s">
        <v>364</v>
      </c>
      <c r="O17" s="454"/>
      <c r="P17" s="454"/>
      <c r="Q17" s="455" t="s">
        <v>28</v>
      </c>
      <c r="R17" s="245"/>
      <c r="U17" s="248"/>
      <c r="V17" s="247"/>
    </row>
    <row r="18" spans="1:25" ht="53.25" x14ac:dyDescent="0.85">
      <c r="A18" s="317"/>
      <c r="B18" s="317"/>
      <c r="C18" s="317"/>
      <c r="D18" s="317"/>
      <c r="E18" s="317"/>
      <c r="F18" s="456" t="s">
        <v>325</v>
      </c>
      <c r="G18" s="456"/>
      <c r="H18" s="321" t="s">
        <v>242</v>
      </c>
      <c r="I18" s="321"/>
      <c r="J18" s="321" t="s">
        <v>243</v>
      </c>
      <c r="K18" s="320"/>
      <c r="L18" s="322" t="s">
        <v>312</v>
      </c>
      <c r="M18" s="322" t="s">
        <v>313</v>
      </c>
      <c r="N18" s="457" t="s">
        <v>365</v>
      </c>
      <c r="O18" s="457"/>
      <c r="P18" s="457"/>
      <c r="Q18" s="455"/>
      <c r="R18" s="245"/>
      <c r="U18" s="336"/>
      <c r="V18" s="247"/>
    </row>
    <row r="19" spans="1:25" ht="57" x14ac:dyDescent="0.85">
      <c r="A19" s="302" t="s">
        <v>256</v>
      </c>
      <c r="B19" s="302"/>
      <c r="C19" s="302"/>
      <c r="D19" s="302"/>
      <c r="E19" s="302"/>
      <c r="F19" s="459">
        <v>390117.71</v>
      </c>
      <c r="G19" s="459"/>
      <c r="H19" s="309">
        <v>1029.31</v>
      </c>
      <c r="I19" s="309">
        <v>0</v>
      </c>
      <c r="J19" s="309">
        <v>521.62</v>
      </c>
      <c r="K19" s="320"/>
      <c r="L19" s="309">
        <v>616.63</v>
      </c>
      <c r="M19" s="309">
        <v>539.42999999999995</v>
      </c>
      <c r="N19" s="309"/>
      <c r="O19" s="309"/>
      <c r="P19" s="309"/>
      <c r="Q19" s="323">
        <f>+M19+L19+J19+H19+F19</f>
        <v>392824.7</v>
      </c>
      <c r="R19" s="245"/>
      <c r="T19" s="247"/>
      <c r="U19" s="248"/>
      <c r="V19" s="248"/>
      <c r="W19" s="247"/>
      <c r="X19" s="247"/>
    </row>
    <row r="20" spans="1:25" ht="57" x14ac:dyDescent="0.85">
      <c r="A20" s="302" t="s">
        <v>344</v>
      </c>
      <c r="B20" s="302"/>
      <c r="C20" s="302"/>
      <c r="D20" s="302"/>
      <c r="E20" s="302"/>
      <c r="F20" s="460">
        <f>+'1-69'!L48</f>
        <v>27000</v>
      </c>
      <c r="G20" s="460"/>
      <c r="H20" s="310">
        <f>+'2-69'!M47</f>
        <v>93120</v>
      </c>
      <c r="I20" s="310"/>
      <c r="J20" s="310">
        <f>+'2-69'!N47</f>
        <v>46200</v>
      </c>
      <c r="K20" s="365"/>
      <c r="L20" s="324">
        <f>+'4-69'!O47</f>
        <v>71902</v>
      </c>
      <c r="M20" s="324">
        <f>+'4-69'!P47</f>
        <v>31655</v>
      </c>
      <c r="N20" s="324"/>
      <c r="O20" s="324"/>
      <c r="P20" s="324"/>
      <c r="Q20" s="325">
        <f>+M20+L20+J20+H20+F20</f>
        <v>269877</v>
      </c>
      <c r="R20" s="245">
        <f>+Q20-'4-69'!K47</f>
        <v>6500</v>
      </c>
      <c r="T20" s="247"/>
      <c r="U20" s="248"/>
      <c r="V20" s="336"/>
      <c r="W20" s="247"/>
      <c r="X20" s="247"/>
      <c r="Y20" s="247"/>
    </row>
    <row r="21" spans="1:25" ht="53.25" hidden="1" customHeight="1" x14ac:dyDescent="0.85">
      <c r="A21" s="302" t="s">
        <v>350</v>
      </c>
      <c r="B21" s="302"/>
      <c r="C21" s="302"/>
      <c r="D21" s="302"/>
      <c r="E21" s="302"/>
      <c r="F21" s="460">
        <v>0</v>
      </c>
      <c r="G21" s="460"/>
      <c r="H21" s="310">
        <v>0</v>
      </c>
      <c r="I21" s="303"/>
      <c r="J21" s="310">
        <v>0</v>
      </c>
      <c r="K21" s="320"/>
      <c r="L21" s="324"/>
      <c r="M21" s="324"/>
      <c r="N21" s="324"/>
      <c r="O21" s="324"/>
      <c r="P21" s="324"/>
      <c r="Q21" s="345">
        <f>+F21+H21+J21+L21+M21</f>
        <v>0</v>
      </c>
      <c r="R21" s="245"/>
      <c r="T21" s="248"/>
      <c r="U21" s="248"/>
      <c r="V21" s="248"/>
      <c r="W21" s="248"/>
      <c r="X21" s="248"/>
      <c r="Y21" s="247"/>
    </row>
    <row r="22" spans="1:25" s="247" customFormat="1" ht="56.25" customHeight="1" x14ac:dyDescent="0.85">
      <c r="A22" s="302" t="s">
        <v>320</v>
      </c>
      <c r="B22" s="302"/>
      <c r="C22" s="302"/>
      <c r="D22" s="302"/>
      <c r="E22" s="302"/>
      <c r="F22" s="459">
        <f>SUM(F19:G21)</f>
        <v>417117.71</v>
      </c>
      <c r="G22" s="459"/>
      <c r="H22" s="309">
        <f>SUM(H19:I21)</f>
        <v>94149.31</v>
      </c>
      <c r="I22" s="309"/>
      <c r="J22" s="309">
        <f>SUM(J19:K21)</f>
        <v>46721.62</v>
      </c>
      <c r="K22" s="309"/>
      <c r="L22" s="326">
        <f>SUM(L19:L21)</f>
        <v>72518.63</v>
      </c>
      <c r="M22" s="326">
        <f>SUM(M19:M21)</f>
        <v>32194.43</v>
      </c>
      <c r="N22" s="326"/>
      <c r="O22" s="326"/>
      <c r="P22" s="326"/>
      <c r="Q22" s="327">
        <f>SUM(F21:M21)</f>
        <v>0</v>
      </c>
      <c r="R22" s="245"/>
      <c r="S22" s="241"/>
      <c r="T22" s="241"/>
      <c r="U22" s="241"/>
      <c r="V22" s="248"/>
      <c r="W22" s="336"/>
      <c r="X22" s="336"/>
      <c r="Y22" s="248"/>
    </row>
    <row r="23" spans="1:25" s="247" customFormat="1" ht="56.25" customHeight="1" x14ac:dyDescent="0.85">
      <c r="A23" s="302" t="s">
        <v>345</v>
      </c>
      <c r="B23" s="308"/>
      <c r="C23" s="308"/>
      <c r="D23" s="308"/>
      <c r="E23" s="308"/>
      <c r="F23" s="461"/>
      <c r="G23" s="461"/>
      <c r="H23" s="303">
        <f>+H20</f>
        <v>93120</v>
      </c>
      <c r="I23" s="303">
        <f>+I20</f>
        <v>0</v>
      </c>
      <c r="J23" s="303">
        <f>+J20</f>
        <v>46200</v>
      </c>
      <c r="K23" s="320"/>
      <c r="L23" s="303">
        <f>+L20</f>
        <v>71902</v>
      </c>
      <c r="M23" s="303">
        <f>+M20</f>
        <v>31655</v>
      </c>
      <c r="N23" s="303"/>
      <c r="O23" s="303"/>
      <c r="P23" s="303"/>
      <c r="Q23" s="328">
        <f>+M23+L23+J23+H23+O23</f>
        <v>242877</v>
      </c>
      <c r="R23" s="245">
        <f>+Q23-'สรุป 4-69'!Q8</f>
        <v>0</v>
      </c>
      <c r="S23" s="241"/>
      <c r="T23" s="241"/>
      <c r="U23" s="241"/>
      <c r="V23" s="248"/>
      <c r="W23" s="248"/>
      <c r="X23" s="248"/>
      <c r="Y23" s="336"/>
    </row>
    <row r="24" spans="1:25" s="248" customFormat="1" ht="56.25" customHeight="1" thickBot="1" x14ac:dyDescent="0.9">
      <c r="A24" s="302" t="s">
        <v>412</v>
      </c>
      <c r="B24" s="308"/>
      <c r="C24" s="308"/>
      <c r="D24" s="308"/>
      <c r="E24" s="308"/>
      <c r="F24" s="450">
        <f>+F22</f>
        <v>417117.71</v>
      </c>
      <c r="G24" s="450"/>
      <c r="H24" s="330">
        <f>+H22-H23</f>
        <v>1029.3099999999977</v>
      </c>
      <c r="I24" s="331">
        <f>+I21</f>
        <v>0</v>
      </c>
      <c r="J24" s="330">
        <f>+J22-J23</f>
        <v>521.62000000000262</v>
      </c>
      <c r="K24" s="332"/>
      <c r="L24" s="330">
        <f>+L22-L23</f>
        <v>616.63000000000466</v>
      </c>
      <c r="M24" s="330">
        <f>+M22-M23</f>
        <v>539.43000000000029</v>
      </c>
      <c r="N24" s="330"/>
      <c r="O24" s="330"/>
      <c r="P24" s="330"/>
      <c r="Q24" s="330">
        <f>+M24+L24+J24+H24+F24</f>
        <v>419824.7</v>
      </c>
      <c r="R24" s="245"/>
      <c r="S24" s="241"/>
      <c r="T24" s="241"/>
      <c r="U24" s="241"/>
    </row>
    <row r="25" spans="1:25" s="336" customFormat="1" ht="56.25" customHeight="1" x14ac:dyDescent="0.85">
      <c r="A25" s="248"/>
      <c r="B25" s="248"/>
      <c r="C25" s="248"/>
      <c r="D25" s="248"/>
      <c r="E25" s="248"/>
      <c r="F25" s="241"/>
      <c r="G25" s="241"/>
      <c r="H25" s="241"/>
      <c r="I25" s="241"/>
      <c r="J25" s="241"/>
      <c r="K25" s="245"/>
      <c r="L25" s="241"/>
      <c r="M25" s="241"/>
      <c r="N25" s="245"/>
      <c r="O25" s="248"/>
      <c r="P25" s="248"/>
      <c r="Q25" s="248"/>
      <c r="R25" s="245"/>
      <c r="S25" s="241"/>
      <c r="T25" s="241"/>
      <c r="U25" s="241"/>
      <c r="V25" s="241"/>
    </row>
    <row r="26" spans="1:25" s="248" customFormat="1" ht="56.25" customHeight="1" x14ac:dyDescent="0.85">
      <c r="A26" s="336"/>
      <c r="B26" s="336"/>
      <c r="C26" s="336"/>
      <c r="D26" s="336"/>
      <c r="E26" s="336"/>
      <c r="F26" s="337"/>
      <c r="G26" s="337">
        <f>+F24-417117.71</f>
        <v>0</v>
      </c>
      <c r="H26" s="337">
        <f>+H24-1029.31</f>
        <v>-2.2737367544323206E-12</v>
      </c>
      <c r="I26" s="337"/>
      <c r="J26" s="337">
        <f>+J24-521.62</f>
        <v>2.6147972675971687E-12</v>
      </c>
      <c r="K26" s="337"/>
      <c r="L26" s="337">
        <f>+L24-616.63</f>
        <v>4.6611603465862572E-12</v>
      </c>
      <c r="M26" s="337">
        <f>+M24-539.43</f>
        <v>0</v>
      </c>
      <c r="N26" s="337"/>
      <c r="O26" s="336"/>
      <c r="P26" s="336"/>
      <c r="Q26" s="336"/>
      <c r="R26" s="245"/>
      <c r="S26" s="241"/>
      <c r="T26" s="241"/>
      <c r="U26" s="241"/>
      <c r="V26" s="241"/>
    </row>
    <row r="27" spans="1:25" s="248" customFormat="1" ht="56.25" customHeight="1" x14ac:dyDescent="0.85">
      <c r="A27" s="241"/>
      <c r="B27" s="241"/>
      <c r="C27" s="241"/>
      <c r="D27" s="241"/>
      <c r="E27" s="241"/>
      <c r="F27" s="241"/>
      <c r="G27" s="241"/>
      <c r="H27" s="245"/>
      <c r="I27" s="241"/>
      <c r="J27" s="245"/>
      <c r="K27" s="245"/>
      <c r="L27" s="245"/>
      <c r="M27" s="245"/>
      <c r="N27" s="241"/>
      <c r="R27" s="245"/>
      <c r="S27" s="241"/>
      <c r="T27" s="241"/>
      <c r="U27" s="241"/>
      <c r="V27" s="241"/>
    </row>
    <row r="28" spans="1:25" s="248" customFormat="1" ht="56.25" customHeight="1" x14ac:dyDescent="0.85">
      <c r="A28" s="241"/>
      <c r="B28" s="241"/>
      <c r="C28" s="241"/>
      <c r="D28" s="241"/>
      <c r="E28" s="241"/>
      <c r="F28" s="241"/>
      <c r="G28" s="245"/>
      <c r="H28" s="241"/>
      <c r="I28" s="241"/>
      <c r="J28" s="241"/>
      <c r="K28" s="245"/>
      <c r="L28" s="241"/>
      <c r="M28" s="241"/>
      <c r="N28" s="241"/>
      <c r="R28" s="245"/>
      <c r="S28" s="241"/>
      <c r="T28" s="241"/>
      <c r="U28" s="241"/>
      <c r="V28" s="241"/>
    </row>
    <row r="29" spans="1:25" ht="46.5" customHeight="1" x14ac:dyDescent="0.85">
      <c r="K29" s="245"/>
      <c r="O29" s="248"/>
      <c r="P29" s="248"/>
      <c r="Q29" s="248"/>
      <c r="R29" s="245"/>
    </row>
    <row r="30" spans="1:25" x14ac:dyDescent="0.8">
      <c r="K30" s="245"/>
      <c r="R30" s="245"/>
    </row>
    <row r="31" spans="1:25" x14ac:dyDescent="0.8">
      <c r="K31" s="245"/>
    </row>
    <row r="32" spans="1:25" x14ac:dyDescent="0.8">
      <c r="K32" s="245"/>
    </row>
  </sheetData>
  <mergeCells count="14">
    <mergeCell ref="F24:G24"/>
    <mergeCell ref="A1:Q1"/>
    <mergeCell ref="L3:Q3"/>
    <mergeCell ref="F16:Q16"/>
    <mergeCell ref="F17:G17"/>
    <mergeCell ref="N17:P17"/>
    <mergeCell ref="Q17:Q18"/>
    <mergeCell ref="F18:G18"/>
    <mergeCell ref="N18:P18"/>
    <mergeCell ref="F19:G19"/>
    <mergeCell ref="F20:G20"/>
    <mergeCell ref="F21:G21"/>
    <mergeCell ref="F22:G22"/>
    <mergeCell ref="F23:G23"/>
  </mergeCells>
  <pageMargins left="0.19685039370078741" right="0.11811023622047245" top="0.23622047244094491" bottom="0.11811023622047245" header="0.19685039370078741" footer="0.11811023622047245"/>
  <pageSetup paperSize="5" scale="43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D471-1603-424D-A0C4-B81BFDB2AB3B}">
  <dimension ref="A1:Y32"/>
  <sheetViews>
    <sheetView zoomScale="50" zoomScaleNormal="50" workbookViewId="0">
      <pane ySplit="2" topLeftCell="A12" activePane="bottomLeft" state="frozen"/>
      <selection activeCell="L14" sqref="L14"/>
      <selection pane="bottomLeft" activeCell="J28" sqref="J28"/>
    </sheetView>
  </sheetViews>
  <sheetFormatPr defaultRowHeight="39.75" x14ac:dyDescent="0.8"/>
  <cols>
    <col min="1" max="1" width="10.375" style="241" customWidth="1"/>
    <col min="2" max="2" width="9.625" style="241" customWidth="1"/>
    <col min="3" max="3" width="5.375" style="241" customWidth="1"/>
    <col min="4" max="4" width="13.125" style="241" customWidth="1"/>
    <col min="5" max="5" width="53.5" style="241" customWidth="1"/>
    <col min="6" max="6" width="14.25" style="241" customWidth="1"/>
    <col min="7" max="7" width="37.125" style="241" customWidth="1"/>
    <col min="8" max="8" width="44.25" style="241" customWidth="1"/>
    <col min="9" max="9" width="1.25" style="241" customWidth="1"/>
    <col min="10" max="10" width="45.375" style="241" customWidth="1"/>
    <col min="11" max="11" width="1.5" style="241" customWidth="1"/>
    <col min="12" max="12" width="47.625" style="241" customWidth="1"/>
    <col min="13" max="13" width="51.75" style="241" customWidth="1"/>
    <col min="14" max="14" width="2.375" style="241" hidden="1" customWidth="1"/>
    <col min="15" max="15" width="26.125" style="241" hidden="1" customWidth="1"/>
    <col min="16" max="16" width="2.75" style="241" hidden="1" customWidth="1"/>
    <col min="17" max="17" width="36.5" style="241" customWidth="1"/>
    <col min="18" max="18" width="23.5" style="241" bestFit="1" customWidth="1"/>
    <col min="19" max="20" width="9" style="241"/>
    <col min="21" max="21" width="17" style="241" bestFit="1" customWidth="1"/>
    <col min="22" max="16384" width="9" style="241"/>
  </cols>
  <sheetData>
    <row r="1" spans="1:25" s="254" customFormat="1" ht="64.5" x14ac:dyDescent="1.1499999999999999">
      <c r="A1" s="451" t="s">
        <v>405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256"/>
      <c r="S1" s="256"/>
      <c r="T1" s="256"/>
      <c r="U1" s="256"/>
      <c r="V1" s="256"/>
      <c r="W1" s="256"/>
    </row>
    <row r="2" spans="1:25" ht="15" customHeight="1" x14ac:dyDescent="0.8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3"/>
      <c r="P2" s="243"/>
      <c r="Q2" s="242"/>
      <c r="R2" s="242"/>
      <c r="S2" s="242"/>
      <c r="T2" s="242"/>
      <c r="U2" s="242"/>
      <c r="V2" s="242"/>
      <c r="W2" s="242"/>
    </row>
    <row r="3" spans="1:25" ht="50.25" customHeight="1" x14ac:dyDescent="1.1499999999999999">
      <c r="A3" s="250"/>
      <c r="B3" s="301" t="s">
        <v>406</v>
      </c>
      <c r="C3" s="301"/>
      <c r="D3" s="305"/>
      <c r="E3" s="305"/>
      <c r="F3" s="305"/>
      <c r="G3" s="305"/>
      <c r="H3" s="304"/>
      <c r="I3" s="304"/>
      <c r="J3" s="304">
        <f>+'3-69'!E47</f>
        <v>289077</v>
      </c>
      <c r="K3" s="254"/>
      <c r="L3" s="452" t="s">
        <v>317</v>
      </c>
      <c r="M3" s="453"/>
      <c r="N3" s="453"/>
      <c r="O3" s="453"/>
      <c r="P3" s="453"/>
      <c r="Q3" s="453"/>
      <c r="R3" s="270"/>
      <c r="S3" s="270"/>
      <c r="T3" s="270"/>
      <c r="U3" s="270"/>
      <c r="V3" s="244"/>
      <c r="W3" s="244"/>
    </row>
    <row r="4" spans="1:25" ht="51.75" customHeight="1" x14ac:dyDescent="1.1499999999999999">
      <c r="A4" s="250"/>
      <c r="B4" s="306" t="s">
        <v>339</v>
      </c>
      <c r="C4" s="301"/>
      <c r="D4" s="301"/>
      <c r="E4" s="305"/>
      <c r="F4" s="305"/>
      <c r="G4" s="305"/>
      <c r="H4" s="304"/>
      <c r="I4" s="304"/>
      <c r="J4" s="307"/>
      <c r="K4" s="255"/>
      <c r="L4" s="311" t="s">
        <v>276</v>
      </c>
      <c r="M4" s="302"/>
      <c r="N4" s="302"/>
      <c r="O4" s="302"/>
      <c r="P4" s="302"/>
      <c r="Q4" s="312">
        <f>+H23</f>
        <v>93120</v>
      </c>
      <c r="R4" s="254"/>
      <c r="S4" s="244"/>
      <c r="T4" s="244"/>
      <c r="U4" s="244"/>
      <c r="V4" s="244"/>
      <c r="W4" s="244"/>
      <c r="X4" s="244"/>
      <c r="Y4" s="244"/>
    </row>
    <row r="5" spans="1:25" ht="51.75" customHeight="1" x14ac:dyDescent="1.1499999999999999">
      <c r="A5" s="250"/>
      <c r="B5" s="301"/>
      <c r="C5" s="301" t="s">
        <v>401</v>
      </c>
      <c r="E5" s="302"/>
      <c r="F5" s="302"/>
      <c r="G5" s="302"/>
      <c r="H5" s="309"/>
      <c r="I5" s="308"/>
      <c r="J5" s="364">
        <v>4008</v>
      </c>
      <c r="K5" s="255"/>
      <c r="L5" s="311" t="s">
        <v>306</v>
      </c>
      <c r="M5" s="302"/>
      <c r="N5" s="302"/>
      <c r="O5" s="302"/>
      <c r="P5" s="302"/>
      <c r="Q5" s="312">
        <f>+J23</f>
        <v>46200</v>
      </c>
      <c r="R5" s="254"/>
      <c r="S5" s="244"/>
      <c r="T5" s="244"/>
      <c r="U5" s="244"/>
      <c r="V5" s="244"/>
      <c r="W5" s="244"/>
      <c r="X5" s="244"/>
      <c r="Y5" s="244"/>
    </row>
    <row r="6" spans="1:25" ht="51.75" customHeight="1" x14ac:dyDescent="1.1499999999999999">
      <c r="A6" s="250"/>
      <c r="B6" s="301" t="s">
        <v>402</v>
      </c>
      <c r="C6" s="301"/>
      <c r="D6" s="301"/>
      <c r="E6" s="305"/>
      <c r="F6" s="305"/>
      <c r="G6" s="302"/>
      <c r="H6" s="309"/>
      <c r="I6" s="304"/>
      <c r="J6" s="304">
        <f>SUM(J3:J5)</f>
        <v>293085</v>
      </c>
      <c r="K6" s="255"/>
      <c r="L6" s="311" t="s">
        <v>302</v>
      </c>
      <c r="M6" s="302"/>
      <c r="N6" s="302"/>
      <c r="O6" s="302"/>
      <c r="P6" s="302"/>
      <c r="Q6" s="312">
        <f>+L23</f>
        <v>52794</v>
      </c>
      <c r="R6" s="254"/>
      <c r="S6" s="244"/>
      <c r="T6" s="244"/>
      <c r="U6" s="244"/>
      <c r="V6" s="244"/>
      <c r="W6" s="244"/>
      <c r="X6" s="244"/>
      <c r="Y6" s="244"/>
    </row>
    <row r="7" spans="1:25" ht="51.75" customHeight="1" x14ac:dyDescent="1.1499999999999999">
      <c r="A7" s="251"/>
      <c r="B7" s="306" t="s">
        <v>340</v>
      </c>
      <c r="C7" s="301" t="s">
        <v>285</v>
      </c>
      <c r="D7" s="301"/>
      <c r="E7" s="305"/>
      <c r="F7" s="305"/>
      <c r="G7" s="304"/>
      <c r="H7" s="303"/>
      <c r="I7" s="304"/>
      <c r="J7" s="309"/>
      <c r="K7" s="255"/>
      <c r="L7" s="311" t="s">
        <v>351</v>
      </c>
      <c r="M7" s="302"/>
      <c r="N7" s="302"/>
      <c r="O7" s="302"/>
      <c r="P7" s="302"/>
      <c r="Q7" s="312">
        <f>+M23</f>
        <v>25471</v>
      </c>
      <c r="R7" s="254"/>
      <c r="S7" s="244"/>
      <c r="T7" s="244"/>
      <c r="U7" s="244"/>
      <c r="V7" s="244"/>
      <c r="W7" s="244"/>
      <c r="X7" s="244"/>
      <c r="Y7" s="244"/>
    </row>
    <row r="8" spans="1:25" ht="51.75" customHeight="1" thickBot="1" x14ac:dyDescent="1.2">
      <c r="A8" s="251"/>
      <c r="D8" s="301" t="s">
        <v>358</v>
      </c>
      <c r="E8" s="302"/>
      <c r="F8" s="302"/>
      <c r="G8" s="309"/>
      <c r="H8" s="303">
        <v>-40000</v>
      </c>
      <c r="I8" s="304"/>
      <c r="J8" s="309"/>
      <c r="K8" s="255"/>
      <c r="L8" s="313" t="s">
        <v>328</v>
      </c>
      <c r="M8" s="302"/>
      <c r="N8" s="302"/>
      <c r="O8" s="302"/>
      <c r="P8" s="302"/>
      <c r="Q8" s="314">
        <f>SUM(Q4:Q7)</f>
        <v>217585</v>
      </c>
      <c r="R8" s="267"/>
      <c r="S8" s="244"/>
      <c r="T8" s="244"/>
      <c r="U8" s="244"/>
      <c r="V8" s="244"/>
      <c r="W8" s="244"/>
      <c r="X8" s="244"/>
      <c r="Y8" s="244"/>
    </row>
    <row r="9" spans="1:25" ht="51.75" customHeight="1" x14ac:dyDescent="1.05">
      <c r="A9" s="251"/>
      <c r="D9" s="301" t="s">
        <v>396</v>
      </c>
      <c r="E9" s="302"/>
      <c r="F9" s="302"/>
      <c r="G9" s="309"/>
      <c r="H9" s="309">
        <v>-400</v>
      </c>
      <c r="I9" s="304"/>
      <c r="J9" s="309"/>
      <c r="K9" s="255"/>
      <c r="L9" s="311" t="s">
        <v>318</v>
      </c>
      <c r="Q9" s="312">
        <f>+F20</f>
        <v>27000</v>
      </c>
      <c r="R9" s="245"/>
      <c r="S9" s="244"/>
      <c r="T9" s="244"/>
      <c r="U9" s="244"/>
      <c r="V9" s="244"/>
      <c r="W9" s="244"/>
      <c r="X9" s="244"/>
      <c r="Y9" s="244"/>
    </row>
    <row r="10" spans="1:25" ht="51.75" customHeight="1" thickBot="1" x14ac:dyDescent="1.2">
      <c r="A10" s="251"/>
      <c r="D10" s="301" t="s">
        <v>397</v>
      </c>
      <c r="E10" s="302"/>
      <c r="F10" s="302"/>
      <c r="G10" s="309"/>
      <c r="H10" s="309">
        <v>-1500</v>
      </c>
      <c r="I10" s="304"/>
      <c r="J10" s="309"/>
      <c r="K10" s="255"/>
      <c r="L10" s="315" t="s">
        <v>367</v>
      </c>
      <c r="Q10" s="316">
        <f>SUM(Q8:Q9)</f>
        <v>244585</v>
      </c>
      <c r="R10" s="267">
        <f>+Q10-Q20</f>
        <v>0</v>
      </c>
      <c r="S10" s="244"/>
      <c r="T10" s="244"/>
      <c r="U10" s="244"/>
      <c r="V10" s="244"/>
      <c r="W10" s="244"/>
      <c r="X10" s="244"/>
      <c r="Y10" s="244"/>
    </row>
    <row r="11" spans="1:25" ht="51.75" customHeight="1" thickTop="1" x14ac:dyDescent="1.1499999999999999">
      <c r="A11" s="251"/>
      <c r="D11" s="301" t="s">
        <v>398</v>
      </c>
      <c r="E11" s="302"/>
      <c r="F11" s="302"/>
      <c r="G11" s="309"/>
      <c r="H11" s="303">
        <v>-600</v>
      </c>
      <c r="I11" s="304"/>
      <c r="J11" s="309"/>
      <c r="K11" s="255"/>
      <c r="L11" s="315"/>
      <c r="R11" s="254"/>
      <c r="V11" s="244"/>
      <c r="W11" s="244"/>
      <c r="X11" s="244"/>
      <c r="Y11" s="244"/>
    </row>
    <row r="12" spans="1:25" ht="51.75" customHeight="1" x14ac:dyDescent="1.1499999999999999">
      <c r="A12" s="251"/>
      <c r="D12" s="301" t="s">
        <v>399</v>
      </c>
      <c r="E12" s="302"/>
      <c r="F12" s="302"/>
      <c r="G12" s="309"/>
      <c r="H12" s="309">
        <v>-6000</v>
      </c>
      <c r="I12" s="304"/>
      <c r="J12" s="309">
        <f>SUM(H8:H12)</f>
        <v>-48500</v>
      </c>
      <c r="K12" s="255"/>
      <c r="L12" s="246"/>
      <c r="R12" s="254"/>
      <c r="V12" s="244"/>
      <c r="W12" s="244"/>
      <c r="X12" s="244"/>
      <c r="Y12" s="244"/>
    </row>
    <row r="13" spans="1:25" ht="51.75" customHeight="1" thickBot="1" x14ac:dyDescent="1.2">
      <c r="B13" s="268" t="s">
        <v>329</v>
      </c>
      <c r="C13" s="254"/>
      <c r="D13" s="266"/>
      <c r="E13" s="254"/>
      <c r="F13" s="254"/>
      <c r="G13" s="254"/>
      <c r="H13" s="254"/>
      <c r="I13" s="267"/>
      <c r="J13" s="269">
        <f>SUM(J6:J12)</f>
        <v>244585</v>
      </c>
      <c r="K13" s="255"/>
      <c r="L13" s="246"/>
      <c r="R13" s="254"/>
      <c r="V13" s="244"/>
      <c r="W13" s="244"/>
      <c r="X13" s="244"/>
      <c r="Y13" s="244"/>
    </row>
    <row r="14" spans="1:25" ht="51.75" customHeight="1" thickTop="1" x14ac:dyDescent="1.1499999999999999">
      <c r="B14" s="251"/>
      <c r="C14" s="251"/>
      <c r="D14" s="252"/>
      <c r="E14" s="251"/>
      <c r="F14" s="251"/>
      <c r="G14" s="251"/>
      <c r="H14" s="253"/>
      <c r="I14" s="253"/>
      <c r="J14" s="253">
        <f>+J13-'3-69'!K47</f>
        <v>0</v>
      </c>
      <c r="K14" s="255"/>
      <c r="L14" s="246"/>
      <c r="R14" s="254"/>
      <c r="V14" s="244"/>
      <c r="W14" s="244"/>
      <c r="X14" s="244"/>
      <c r="Y14" s="244"/>
    </row>
    <row r="15" spans="1:25" ht="36.75" customHeight="1" x14ac:dyDescent="1.1499999999999999">
      <c r="B15" s="251"/>
      <c r="C15" s="251"/>
      <c r="D15" s="252"/>
      <c r="E15" s="251"/>
      <c r="F15" s="251"/>
      <c r="G15" s="251"/>
      <c r="H15" s="253"/>
      <c r="I15" s="253"/>
      <c r="J15" s="253"/>
      <c r="K15" s="343"/>
      <c r="Q15" s="254"/>
      <c r="U15" s="329"/>
    </row>
    <row r="16" spans="1:25" ht="57" x14ac:dyDescent="0.85">
      <c r="A16" s="308"/>
      <c r="B16" s="317"/>
      <c r="C16" s="317"/>
      <c r="D16" s="317"/>
      <c r="E16" s="317"/>
      <c r="F16" s="458" t="s">
        <v>337</v>
      </c>
      <c r="G16" s="458"/>
      <c r="H16" s="458"/>
      <c r="I16" s="458"/>
      <c r="J16" s="458"/>
      <c r="K16" s="458"/>
      <c r="L16" s="458"/>
      <c r="M16" s="458"/>
      <c r="N16" s="458"/>
      <c r="O16" s="458"/>
      <c r="P16" s="458"/>
      <c r="Q16" s="458"/>
      <c r="R16" s="245"/>
      <c r="U16" s="247"/>
    </row>
    <row r="17" spans="1:25" ht="51" x14ac:dyDescent="0.85">
      <c r="A17" s="308"/>
      <c r="B17" s="318"/>
      <c r="C17" s="318"/>
      <c r="D17" s="318"/>
      <c r="E17" s="318"/>
      <c r="F17" s="454" t="s">
        <v>342</v>
      </c>
      <c r="G17" s="454"/>
      <c r="H17" s="319" t="s">
        <v>341</v>
      </c>
      <c r="I17" s="319"/>
      <c r="J17" s="319" t="s">
        <v>346</v>
      </c>
      <c r="K17" s="320"/>
      <c r="L17" s="319" t="s">
        <v>347</v>
      </c>
      <c r="M17" s="319" t="s">
        <v>338</v>
      </c>
      <c r="N17" s="454" t="s">
        <v>364</v>
      </c>
      <c r="O17" s="454"/>
      <c r="P17" s="454"/>
      <c r="Q17" s="455" t="s">
        <v>28</v>
      </c>
      <c r="R17" s="245"/>
      <c r="U17" s="248"/>
      <c r="V17" s="247"/>
    </row>
    <row r="18" spans="1:25" ht="53.25" x14ac:dyDescent="0.85">
      <c r="A18" s="317"/>
      <c r="B18" s="317"/>
      <c r="C18" s="317"/>
      <c r="D18" s="317"/>
      <c r="E18" s="317"/>
      <c r="F18" s="456" t="s">
        <v>325</v>
      </c>
      <c r="G18" s="456"/>
      <c r="H18" s="321" t="s">
        <v>242</v>
      </c>
      <c r="I18" s="321"/>
      <c r="J18" s="321" t="s">
        <v>243</v>
      </c>
      <c r="K18" s="320"/>
      <c r="L18" s="322" t="s">
        <v>312</v>
      </c>
      <c r="M18" s="322" t="s">
        <v>313</v>
      </c>
      <c r="N18" s="457" t="s">
        <v>365</v>
      </c>
      <c r="O18" s="457"/>
      <c r="P18" s="457"/>
      <c r="Q18" s="455"/>
      <c r="R18" s="245"/>
      <c r="U18" s="336"/>
      <c r="V18" s="247"/>
    </row>
    <row r="19" spans="1:25" ht="57" x14ac:dyDescent="0.85">
      <c r="A19" s="302" t="s">
        <v>256</v>
      </c>
      <c r="B19" s="302"/>
      <c r="C19" s="302"/>
      <c r="D19" s="302"/>
      <c r="E19" s="302"/>
      <c r="F19" s="459">
        <v>363117.71</v>
      </c>
      <c r="G19" s="459"/>
      <c r="H19" s="309">
        <v>1029.31</v>
      </c>
      <c r="I19" s="309">
        <v>0</v>
      </c>
      <c r="J19" s="309">
        <v>521.62</v>
      </c>
      <c r="K19" s="320"/>
      <c r="L19" s="309">
        <v>616.63</v>
      </c>
      <c r="M19" s="309">
        <v>539.42999999999995</v>
      </c>
      <c r="N19" s="309"/>
      <c r="O19" s="309"/>
      <c r="P19" s="309"/>
      <c r="Q19" s="323">
        <f>+M19+L19+J19+H19+F19</f>
        <v>365824.7</v>
      </c>
      <c r="R19" s="245"/>
      <c r="T19" s="247"/>
      <c r="U19" s="248"/>
      <c r="V19" s="248"/>
      <c r="W19" s="247"/>
      <c r="X19" s="247"/>
    </row>
    <row r="20" spans="1:25" ht="57" x14ac:dyDescent="0.85">
      <c r="A20" s="302" t="s">
        <v>344</v>
      </c>
      <c r="B20" s="302"/>
      <c r="C20" s="302"/>
      <c r="D20" s="302"/>
      <c r="E20" s="302"/>
      <c r="F20" s="460">
        <f>+'1-69'!L48</f>
        <v>27000</v>
      </c>
      <c r="G20" s="460"/>
      <c r="H20" s="310">
        <f>+'2-69'!M47</f>
        <v>93120</v>
      </c>
      <c r="I20" s="310"/>
      <c r="J20" s="310">
        <f>+'2-69'!N47</f>
        <v>46200</v>
      </c>
      <c r="K20" s="365"/>
      <c r="L20" s="324">
        <f>+'3-69'!O47</f>
        <v>52794</v>
      </c>
      <c r="M20" s="324">
        <f>+'3-69'!P47</f>
        <v>25471</v>
      </c>
      <c r="N20" s="324"/>
      <c r="O20" s="324"/>
      <c r="P20" s="324"/>
      <c r="Q20" s="325">
        <f>+M20+L20+J20+H20+F20</f>
        <v>244585</v>
      </c>
      <c r="R20" s="245">
        <f>+Q20-'3-69'!K47</f>
        <v>0</v>
      </c>
      <c r="T20" s="247"/>
      <c r="U20" s="248"/>
      <c r="V20" s="336"/>
      <c r="W20" s="247"/>
      <c r="X20" s="247"/>
      <c r="Y20" s="247"/>
    </row>
    <row r="21" spans="1:25" ht="53.25" hidden="1" customHeight="1" x14ac:dyDescent="0.85">
      <c r="A21" s="302" t="s">
        <v>350</v>
      </c>
      <c r="B21" s="302"/>
      <c r="C21" s="302"/>
      <c r="D21" s="302"/>
      <c r="E21" s="302"/>
      <c r="F21" s="460">
        <v>0</v>
      </c>
      <c r="G21" s="460"/>
      <c r="H21" s="310">
        <v>0</v>
      </c>
      <c r="I21" s="303"/>
      <c r="J21" s="310">
        <v>0</v>
      </c>
      <c r="K21" s="320"/>
      <c r="L21" s="324"/>
      <c r="M21" s="324"/>
      <c r="N21" s="324"/>
      <c r="O21" s="324"/>
      <c r="P21" s="324"/>
      <c r="Q21" s="345">
        <f>+F21+H21+J21+L21+M21</f>
        <v>0</v>
      </c>
      <c r="R21" s="245"/>
      <c r="T21" s="248"/>
      <c r="U21" s="248"/>
      <c r="V21" s="248"/>
      <c r="W21" s="248"/>
      <c r="X21" s="248"/>
      <c r="Y21" s="247"/>
    </row>
    <row r="22" spans="1:25" s="247" customFormat="1" ht="56.25" customHeight="1" x14ac:dyDescent="0.85">
      <c r="A22" s="302" t="s">
        <v>320</v>
      </c>
      <c r="B22" s="302"/>
      <c r="C22" s="302"/>
      <c r="D22" s="302"/>
      <c r="E22" s="302"/>
      <c r="F22" s="459">
        <f>SUM(F19:G21)</f>
        <v>390117.71</v>
      </c>
      <c r="G22" s="459"/>
      <c r="H22" s="309">
        <f>SUM(H19:I21)</f>
        <v>94149.31</v>
      </c>
      <c r="I22" s="309"/>
      <c r="J22" s="309">
        <f>SUM(J19:K21)</f>
        <v>46721.62</v>
      </c>
      <c r="K22" s="309"/>
      <c r="L22" s="326">
        <f>SUM(L19:L21)</f>
        <v>53410.63</v>
      </c>
      <c r="M22" s="326">
        <f>SUM(M19:M21)</f>
        <v>26010.43</v>
      </c>
      <c r="N22" s="326"/>
      <c r="O22" s="326"/>
      <c r="P22" s="326"/>
      <c r="Q22" s="327">
        <f>SUM(F21:M21)</f>
        <v>0</v>
      </c>
      <c r="R22" s="245"/>
      <c r="S22" s="241"/>
      <c r="T22" s="241"/>
      <c r="U22" s="241"/>
      <c r="V22" s="248"/>
      <c r="W22" s="336"/>
      <c r="X22" s="336"/>
      <c r="Y22" s="248"/>
    </row>
    <row r="23" spans="1:25" s="247" customFormat="1" ht="56.25" customHeight="1" x14ac:dyDescent="0.85">
      <c r="A23" s="302" t="s">
        <v>345</v>
      </c>
      <c r="B23" s="308"/>
      <c r="C23" s="308"/>
      <c r="D23" s="308"/>
      <c r="E23" s="308"/>
      <c r="F23" s="461"/>
      <c r="G23" s="461"/>
      <c r="H23" s="303">
        <f>+H20</f>
        <v>93120</v>
      </c>
      <c r="I23" s="303">
        <f>+I20</f>
        <v>0</v>
      </c>
      <c r="J23" s="303">
        <f>+J20</f>
        <v>46200</v>
      </c>
      <c r="K23" s="320"/>
      <c r="L23" s="303">
        <f>+L20</f>
        <v>52794</v>
      </c>
      <c r="M23" s="303">
        <f>+M20</f>
        <v>25471</v>
      </c>
      <c r="N23" s="303"/>
      <c r="O23" s="303"/>
      <c r="P23" s="303"/>
      <c r="Q23" s="328">
        <f>+M23+L23+J23+H23+O23</f>
        <v>217585</v>
      </c>
      <c r="R23" s="245">
        <f>+Q23-'สรุป 3-69'!Q8</f>
        <v>0</v>
      </c>
      <c r="S23" s="241"/>
      <c r="T23" s="241"/>
      <c r="U23" s="241"/>
      <c r="V23" s="248"/>
      <c r="W23" s="248"/>
      <c r="X23" s="248"/>
      <c r="Y23" s="336"/>
    </row>
    <row r="24" spans="1:25" s="248" customFormat="1" ht="56.25" customHeight="1" thickBot="1" x14ac:dyDescent="0.9">
      <c r="A24" s="302" t="s">
        <v>407</v>
      </c>
      <c r="B24" s="308"/>
      <c r="C24" s="308"/>
      <c r="D24" s="308"/>
      <c r="E24" s="308"/>
      <c r="F24" s="450">
        <f>+F22</f>
        <v>390117.71</v>
      </c>
      <c r="G24" s="450"/>
      <c r="H24" s="330">
        <f>+H22-H23</f>
        <v>1029.3099999999977</v>
      </c>
      <c r="I24" s="331">
        <f>+I21</f>
        <v>0</v>
      </c>
      <c r="J24" s="330">
        <f>+J22-J23</f>
        <v>521.62000000000262</v>
      </c>
      <c r="K24" s="332"/>
      <c r="L24" s="330">
        <f>+L22-L23</f>
        <v>616.62999999999738</v>
      </c>
      <c r="M24" s="330">
        <f>+M22-M23</f>
        <v>539.43000000000029</v>
      </c>
      <c r="N24" s="330"/>
      <c r="O24" s="330"/>
      <c r="P24" s="330"/>
      <c r="Q24" s="330">
        <f>+M24+L24+J24+H24+F24</f>
        <v>392824.7</v>
      </c>
      <c r="R24" s="245"/>
      <c r="S24" s="241"/>
      <c r="T24" s="241"/>
      <c r="U24" s="241"/>
    </row>
    <row r="25" spans="1:25" s="336" customFormat="1" ht="56.25" customHeight="1" x14ac:dyDescent="0.85">
      <c r="A25" s="248"/>
      <c r="B25" s="248"/>
      <c r="C25" s="248"/>
      <c r="D25" s="248"/>
      <c r="E25" s="248"/>
      <c r="F25" s="241"/>
      <c r="G25" s="241"/>
      <c r="H25" s="241"/>
      <c r="I25" s="241"/>
      <c r="J25" s="241"/>
      <c r="K25" s="245"/>
      <c r="L25" s="241"/>
      <c r="M25" s="241"/>
      <c r="N25" s="245"/>
      <c r="O25" s="248"/>
      <c r="P25" s="248"/>
      <c r="Q25" s="248"/>
      <c r="R25" s="245"/>
      <c r="S25" s="241"/>
      <c r="T25" s="241"/>
      <c r="U25" s="241"/>
      <c r="V25" s="241"/>
    </row>
    <row r="26" spans="1:25" s="248" customFormat="1" ht="56.25" customHeight="1" x14ac:dyDescent="0.85">
      <c r="A26" s="336"/>
      <c r="B26" s="336"/>
      <c r="C26" s="336"/>
      <c r="D26" s="336"/>
      <c r="E26" s="336"/>
      <c r="F26" s="337"/>
      <c r="G26" s="337">
        <f>+F24-390117.71</f>
        <v>0</v>
      </c>
      <c r="H26" s="337">
        <f>+H24-1029.31</f>
        <v>-2.2737367544323206E-12</v>
      </c>
      <c r="I26" s="337"/>
      <c r="J26" s="337">
        <f>+J24-521.62</f>
        <v>2.6147972675971687E-12</v>
      </c>
      <c r="K26" s="337"/>
      <c r="L26" s="337">
        <f>+L24-616.63</f>
        <v>-2.6147972675971687E-12</v>
      </c>
      <c r="M26" s="337">
        <f>+M24-539.43</f>
        <v>0</v>
      </c>
      <c r="N26" s="337"/>
      <c r="O26" s="336"/>
      <c r="P26" s="336"/>
      <c r="Q26" s="336"/>
      <c r="R26" s="245"/>
      <c r="S26" s="241"/>
      <c r="T26" s="241"/>
      <c r="U26" s="241"/>
      <c r="V26" s="241"/>
    </row>
    <row r="27" spans="1:25" s="248" customFormat="1" ht="56.25" customHeight="1" x14ac:dyDescent="0.85">
      <c r="A27" s="241"/>
      <c r="B27" s="241"/>
      <c r="C27" s="241"/>
      <c r="D27" s="241"/>
      <c r="E27" s="241"/>
      <c r="F27" s="241"/>
      <c r="G27" s="241"/>
      <c r="H27" s="245"/>
      <c r="I27" s="241"/>
      <c r="J27" s="245"/>
      <c r="K27" s="245"/>
      <c r="L27" s="245"/>
      <c r="M27" s="245"/>
      <c r="N27" s="241"/>
      <c r="R27" s="245"/>
      <c r="S27" s="241"/>
      <c r="T27" s="241"/>
      <c r="U27" s="241"/>
      <c r="V27" s="241"/>
    </row>
    <row r="28" spans="1:25" s="248" customFormat="1" ht="56.25" customHeight="1" x14ac:dyDescent="0.85">
      <c r="A28" s="241"/>
      <c r="B28" s="241"/>
      <c r="C28" s="241"/>
      <c r="D28" s="241"/>
      <c r="E28" s="241"/>
      <c r="F28" s="241"/>
      <c r="G28" s="245"/>
      <c r="H28" s="241"/>
      <c r="I28" s="241"/>
      <c r="J28" s="241"/>
      <c r="K28" s="245"/>
      <c r="L28" s="241"/>
      <c r="M28" s="241"/>
      <c r="N28" s="241"/>
      <c r="R28" s="245"/>
      <c r="S28" s="241"/>
      <c r="T28" s="241"/>
      <c r="U28" s="241"/>
      <c r="V28" s="241"/>
    </row>
    <row r="29" spans="1:25" ht="46.5" customHeight="1" x14ac:dyDescent="0.85">
      <c r="K29" s="245"/>
      <c r="O29" s="248"/>
      <c r="P29" s="248"/>
      <c r="Q29" s="248"/>
      <c r="R29" s="245"/>
    </row>
    <row r="30" spans="1:25" x14ac:dyDescent="0.8">
      <c r="K30" s="245"/>
      <c r="R30" s="245"/>
    </row>
    <row r="31" spans="1:25" x14ac:dyDescent="0.8">
      <c r="K31" s="245"/>
    </row>
    <row r="32" spans="1:25" x14ac:dyDescent="0.8">
      <c r="K32" s="245"/>
    </row>
  </sheetData>
  <mergeCells count="14">
    <mergeCell ref="F24:G24"/>
    <mergeCell ref="A1:Q1"/>
    <mergeCell ref="L3:Q3"/>
    <mergeCell ref="F16:Q16"/>
    <mergeCell ref="F17:G17"/>
    <mergeCell ref="N17:P17"/>
    <mergeCell ref="Q17:Q18"/>
    <mergeCell ref="F18:G18"/>
    <mergeCell ref="N18:P18"/>
    <mergeCell ref="F19:G19"/>
    <mergeCell ref="F20:G20"/>
    <mergeCell ref="F21:G21"/>
    <mergeCell ref="F22:G22"/>
    <mergeCell ref="F23:G23"/>
  </mergeCells>
  <pageMargins left="0.19685039370078741" right="0.11811023622047245" top="0.23622047244094491" bottom="0.11811023622047245" header="0.19685039370078741" footer="0.11811023622047245"/>
  <pageSetup paperSize="5" scale="43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82C03-C999-478F-BB82-82FA6AA4006E}">
  <dimension ref="A1:Y33"/>
  <sheetViews>
    <sheetView zoomScale="50" zoomScaleNormal="50" workbookViewId="0">
      <pane ySplit="2" topLeftCell="A3" activePane="bottomLeft" state="frozen"/>
      <selection activeCell="L14" sqref="L14"/>
      <selection pane="bottomLeft" activeCell="A12" sqref="A12:XFD12"/>
    </sheetView>
  </sheetViews>
  <sheetFormatPr defaultRowHeight="39.75" x14ac:dyDescent="0.8"/>
  <cols>
    <col min="1" max="1" width="10.375" style="241" customWidth="1"/>
    <col min="2" max="2" width="9.625" style="241" customWidth="1"/>
    <col min="3" max="3" width="5.375" style="241" customWidth="1"/>
    <col min="4" max="4" width="13.125" style="241" customWidth="1"/>
    <col min="5" max="5" width="53.5" style="241" customWidth="1"/>
    <col min="6" max="6" width="14.25" style="241" customWidth="1"/>
    <col min="7" max="7" width="37.125" style="241" customWidth="1"/>
    <col min="8" max="8" width="44.25" style="241" customWidth="1"/>
    <col min="9" max="9" width="1.25" style="241" customWidth="1"/>
    <col min="10" max="10" width="45.375" style="241" customWidth="1"/>
    <col min="11" max="11" width="1.5" style="241" customWidth="1"/>
    <col min="12" max="12" width="47.625" style="241" customWidth="1"/>
    <col min="13" max="13" width="51.75" style="241" customWidth="1"/>
    <col min="14" max="14" width="2.375" style="241" hidden="1" customWidth="1"/>
    <col min="15" max="15" width="26.125" style="241" hidden="1" customWidth="1"/>
    <col min="16" max="16" width="2.75" style="241" hidden="1" customWidth="1"/>
    <col min="17" max="17" width="36.5" style="241" customWidth="1"/>
    <col min="18" max="18" width="23.5" style="241" bestFit="1" customWidth="1"/>
    <col min="19" max="20" width="9" style="241"/>
    <col min="21" max="21" width="17" style="241" bestFit="1" customWidth="1"/>
    <col min="22" max="16384" width="9" style="241"/>
  </cols>
  <sheetData>
    <row r="1" spans="1:25" s="254" customFormat="1" ht="64.5" x14ac:dyDescent="1.1499999999999999">
      <c r="A1" s="451" t="s">
        <v>391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256"/>
      <c r="S1" s="256"/>
      <c r="T1" s="256"/>
      <c r="U1" s="256"/>
      <c r="V1" s="256"/>
      <c r="W1" s="256"/>
    </row>
    <row r="2" spans="1:25" ht="15" customHeight="1" x14ac:dyDescent="0.8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3"/>
      <c r="P2" s="243"/>
      <c r="Q2" s="242"/>
      <c r="R2" s="242"/>
      <c r="S2" s="242"/>
      <c r="T2" s="242"/>
      <c r="U2" s="242"/>
      <c r="V2" s="242"/>
      <c r="W2" s="242"/>
    </row>
    <row r="3" spans="1:25" ht="50.25" customHeight="1" x14ac:dyDescent="1.1499999999999999">
      <c r="A3" s="250"/>
      <c r="B3" s="301" t="s">
        <v>392</v>
      </c>
      <c r="C3" s="301"/>
      <c r="D3" s="305"/>
      <c r="E3" s="305"/>
      <c r="F3" s="305"/>
      <c r="G3" s="305"/>
      <c r="H3" s="304"/>
      <c r="I3" s="304"/>
      <c r="J3" s="304">
        <f>+'2-69'!E47</f>
        <v>290365</v>
      </c>
      <c r="K3" s="254"/>
      <c r="L3" s="452" t="s">
        <v>317</v>
      </c>
      <c r="M3" s="453"/>
      <c r="N3" s="453"/>
      <c r="O3" s="453"/>
      <c r="P3" s="453"/>
      <c r="Q3" s="453"/>
      <c r="R3" s="270"/>
      <c r="S3" s="270"/>
      <c r="T3" s="270"/>
      <c r="U3" s="270"/>
      <c r="V3" s="244"/>
      <c r="W3" s="244"/>
    </row>
    <row r="4" spans="1:25" ht="51.75" customHeight="1" x14ac:dyDescent="1.1499999999999999">
      <c r="A4" s="250"/>
      <c r="B4" s="306" t="s">
        <v>339</v>
      </c>
      <c r="C4" s="301"/>
      <c r="D4" s="301"/>
      <c r="E4" s="305"/>
      <c r="F4" s="305"/>
      <c r="G4" s="305"/>
      <c r="H4" s="304"/>
      <c r="I4" s="304"/>
      <c r="J4" s="307"/>
      <c r="K4" s="255"/>
      <c r="L4" s="311" t="s">
        <v>276</v>
      </c>
      <c r="M4" s="302"/>
      <c r="N4" s="302"/>
      <c r="O4" s="302"/>
      <c r="P4" s="302"/>
      <c r="Q4" s="312">
        <f>+H24</f>
        <v>93120</v>
      </c>
      <c r="R4" s="254"/>
      <c r="S4" s="244"/>
      <c r="T4" s="244"/>
      <c r="U4" s="244"/>
      <c r="V4" s="244"/>
      <c r="W4" s="244"/>
      <c r="X4" s="244"/>
      <c r="Y4" s="244"/>
    </row>
    <row r="5" spans="1:25" ht="51.75" customHeight="1" x14ac:dyDescent="1.1499999999999999">
      <c r="A5" s="250"/>
      <c r="B5" s="301"/>
      <c r="C5" s="363" t="s">
        <v>400</v>
      </c>
      <c r="E5" s="302"/>
      <c r="F5" s="302"/>
      <c r="G5" s="302"/>
      <c r="H5" s="309"/>
      <c r="I5" s="308"/>
      <c r="J5" s="364">
        <v>968</v>
      </c>
      <c r="K5" s="255"/>
      <c r="L5" s="311" t="s">
        <v>306</v>
      </c>
      <c r="M5" s="302"/>
      <c r="N5" s="302"/>
      <c r="O5" s="302"/>
      <c r="P5" s="302"/>
      <c r="Q5" s="312">
        <f>+J24</f>
        <v>46200</v>
      </c>
      <c r="R5" s="254"/>
      <c r="S5" s="244"/>
      <c r="T5" s="244"/>
      <c r="U5" s="244"/>
      <c r="V5" s="244"/>
      <c r="W5" s="244"/>
      <c r="X5" s="244"/>
      <c r="Y5" s="244"/>
    </row>
    <row r="6" spans="1:25" ht="51.75" customHeight="1" x14ac:dyDescent="1.1499999999999999">
      <c r="A6" s="250"/>
      <c r="B6" s="301" t="s">
        <v>402</v>
      </c>
      <c r="C6" s="301"/>
      <c r="D6" s="301"/>
      <c r="E6" s="305"/>
      <c r="F6" s="305"/>
      <c r="G6" s="302"/>
      <c r="H6" s="309"/>
      <c r="I6" s="304"/>
      <c r="J6" s="304">
        <f>SUM(J3:J5)</f>
        <v>291333</v>
      </c>
      <c r="K6" s="255"/>
      <c r="L6" s="311" t="s">
        <v>302</v>
      </c>
      <c r="M6" s="302"/>
      <c r="N6" s="302"/>
      <c r="O6" s="302"/>
      <c r="P6" s="302"/>
      <c r="Q6" s="312">
        <f>+L24</f>
        <v>46586</v>
      </c>
      <c r="R6" s="254"/>
      <c r="S6" s="244"/>
      <c r="T6" s="244"/>
      <c r="U6" s="244"/>
      <c r="V6" s="244"/>
      <c r="W6" s="244"/>
      <c r="X6" s="244"/>
      <c r="Y6" s="244"/>
    </row>
    <row r="7" spans="1:25" ht="51.75" customHeight="1" x14ac:dyDescent="1.1499999999999999">
      <c r="A7" s="251"/>
      <c r="B7" s="306" t="s">
        <v>340</v>
      </c>
      <c r="C7" s="301" t="s">
        <v>285</v>
      </c>
      <c r="D7" s="301"/>
      <c r="E7" s="305"/>
      <c r="F7" s="305"/>
      <c r="G7" s="304"/>
      <c r="H7" s="303"/>
      <c r="I7" s="304"/>
      <c r="J7" s="309"/>
      <c r="K7" s="255"/>
      <c r="L7" s="311" t="s">
        <v>351</v>
      </c>
      <c r="M7" s="302"/>
      <c r="N7" s="302"/>
      <c r="O7" s="302"/>
      <c r="P7" s="302"/>
      <c r="Q7" s="312">
        <f>+M24</f>
        <v>24951</v>
      </c>
      <c r="R7" s="254"/>
      <c r="S7" s="244"/>
      <c r="T7" s="244"/>
      <c r="U7" s="244"/>
      <c r="V7" s="244"/>
      <c r="W7" s="244"/>
      <c r="X7" s="244"/>
      <c r="Y7" s="244"/>
    </row>
    <row r="8" spans="1:25" ht="51.75" customHeight="1" thickBot="1" x14ac:dyDescent="1.2">
      <c r="A8" s="251"/>
      <c r="D8" s="301" t="s">
        <v>358</v>
      </c>
      <c r="E8" s="302"/>
      <c r="F8" s="302"/>
      <c r="G8" s="309"/>
      <c r="H8" s="303">
        <v>-40000</v>
      </c>
      <c r="I8" s="304"/>
      <c r="J8" s="309"/>
      <c r="K8" s="255"/>
      <c r="L8" s="313" t="s">
        <v>328</v>
      </c>
      <c r="M8" s="302"/>
      <c r="N8" s="302"/>
      <c r="O8" s="302"/>
      <c r="P8" s="302"/>
      <c r="Q8" s="314">
        <f>SUM(Q4:Q7)</f>
        <v>210857</v>
      </c>
      <c r="R8" s="267"/>
      <c r="S8" s="244"/>
      <c r="T8" s="244"/>
      <c r="U8" s="244"/>
      <c r="V8" s="244"/>
      <c r="W8" s="244"/>
      <c r="X8" s="244"/>
      <c r="Y8" s="244"/>
    </row>
    <row r="9" spans="1:25" ht="51.75" customHeight="1" x14ac:dyDescent="1.05">
      <c r="A9" s="251"/>
      <c r="D9" s="301" t="s">
        <v>396</v>
      </c>
      <c r="E9" s="302"/>
      <c r="F9" s="302"/>
      <c r="G9" s="309"/>
      <c r="H9" s="309">
        <v>-400</v>
      </c>
      <c r="I9" s="304"/>
      <c r="J9" s="309"/>
      <c r="K9" s="255"/>
      <c r="L9" s="311" t="s">
        <v>318</v>
      </c>
      <c r="Q9" s="312">
        <f>+F21</f>
        <v>27000</v>
      </c>
      <c r="R9" s="245"/>
      <c r="S9" s="244"/>
      <c r="T9" s="244"/>
      <c r="U9" s="244"/>
      <c r="V9" s="244"/>
      <c r="W9" s="244"/>
      <c r="X9" s="244"/>
      <c r="Y9" s="244"/>
    </row>
    <row r="10" spans="1:25" ht="51.75" customHeight="1" thickBot="1" x14ac:dyDescent="1.2">
      <c r="A10" s="251"/>
      <c r="D10" s="301" t="s">
        <v>397</v>
      </c>
      <c r="E10" s="302"/>
      <c r="F10" s="302"/>
      <c r="G10" s="309"/>
      <c r="H10" s="309">
        <v>-1500</v>
      </c>
      <c r="I10" s="304"/>
      <c r="J10" s="309"/>
      <c r="K10" s="255"/>
      <c r="L10" s="315" t="s">
        <v>367</v>
      </c>
      <c r="Q10" s="316">
        <f>SUM(Q8:Q9)</f>
        <v>237857</v>
      </c>
      <c r="R10" s="267">
        <f>+Q10-Q21</f>
        <v>0</v>
      </c>
      <c r="S10" s="244"/>
      <c r="T10" s="244"/>
      <c r="U10" s="244"/>
      <c r="V10" s="244"/>
      <c r="W10" s="244"/>
      <c r="X10" s="244"/>
      <c r="Y10" s="244"/>
    </row>
    <row r="11" spans="1:25" ht="51.75" customHeight="1" thickTop="1" x14ac:dyDescent="1.1499999999999999">
      <c r="A11" s="251"/>
      <c r="D11" s="301" t="s">
        <v>398</v>
      </c>
      <c r="E11" s="302"/>
      <c r="F11" s="302"/>
      <c r="G11" s="309"/>
      <c r="H11" s="303">
        <v>-600</v>
      </c>
      <c r="I11" s="304"/>
      <c r="J11" s="309"/>
      <c r="K11" s="255"/>
      <c r="L11" s="315"/>
      <c r="R11" s="254"/>
      <c r="V11" s="244"/>
      <c r="W11" s="244"/>
      <c r="X11" s="244"/>
      <c r="Y11" s="244"/>
    </row>
    <row r="12" spans="1:25" ht="51.75" customHeight="1" x14ac:dyDescent="1.1499999999999999">
      <c r="A12" s="251"/>
      <c r="D12" s="301" t="s">
        <v>399</v>
      </c>
      <c r="E12" s="302"/>
      <c r="F12" s="302"/>
      <c r="G12" s="309"/>
      <c r="H12" s="309">
        <v>-6000</v>
      </c>
      <c r="I12" s="304"/>
      <c r="J12" s="309"/>
      <c r="K12" s="255"/>
      <c r="L12" s="246"/>
      <c r="R12" s="254"/>
      <c r="V12" s="244"/>
      <c r="W12" s="244"/>
      <c r="X12" s="244"/>
      <c r="Y12" s="244"/>
    </row>
    <row r="13" spans="1:25" ht="51.75" customHeight="1" x14ac:dyDescent="1.1499999999999999">
      <c r="A13" s="251"/>
      <c r="D13" s="301" t="s">
        <v>401</v>
      </c>
      <c r="E13" s="302"/>
      <c r="F13" s="302"/>
      <c r="G13" s="309"/>
      <c r="H13" s="310">
        <v>-4008</v>
      </c>
      <c r="I13" s="304"/>
      <c r="J13" s="309">
        <f>SUM(H8:H13)</f>
        <v>-52508</v>
      </c>
      <c r="K13" s="255"/>
      <c r="L13" s="246"/>
      <c r="R13" s="254"/>
      <c r="V13" s="244"/>
      <c r="W13" s="244"/>
      <c r="X13" s="244"/>
      <c r="Y13" s="244"/>
    </row>
    <row r="14" spans="1:25" ht="51.75" customHeight="1" thickBot="1" x14ac:dyDescent="1.2">
      <c r="B14" s="268" t="s">
        <v>329</v>
      </c>
      <c r="C14" s="254"/>
      <c r="D14" s="266"/>
      <c r="E14" s="254"/>
      <c r="F14" s="254"/>
      <c r="G14" s="254"/>
      <c r="H14" s="254"/>
      <c r="I14" s="267"/>
      <c r="J14" s="269">
        <f>+J6+J13</f>
        <v>238825</v>
      </c>
      <c r="K14" s="255"/>
      <c r="L14" s="246"/>
      <c r="R14" s="254"/>
      <c r="V14" s="244"/>
      <c r="W14" s="244"/>
      <c r="X14" s="244"/>
      <c r="Y14" s="244"/>
    </row>
    <row r="15" spans="1:25" ht="51.75" customHeight="1" thickTop="1" x14ac:dyDescent="1.1499999999999999">
      <c r="B15" s="251"/>
      <c r="C15" s="251"/>
      <c r="D15" s="252"/>
      <c r="E15" s="251"/>
      <c r="F15" s="251"/>
      <c r="G15" s="251"/>
      <c r="H15" s="253"/>
      <c r="I15" s="253"/>
      <c r="J15" s="253">
        <f>+'2-69'!K47-J14</f>
        <v>-968</v>
      </c>
      <c r="K15" s="255"/>
      <c r="L15" s="246"/>
      <c r="R15" s="254"/>
      <c r="V15" s="244"/>
      <c r="W15" s="244"/>
      <c r="X15" s="244"/>
      <c r="Y15" s="244"/>
    </row>
    <row r="16" spans="1:25" ht="36.75" customHeight="1" x14ac:dyDescent="1.1499999999999999">
      <c r="B16" s="251"/>
      <c r="C16" s="251"/>
      <c r="D16" s="252"/>
      <c r="E16" s="251"/>
      <c r="F16" s="251"/>
      <c r="G16" s="251"/>
      <c r="H16" s="253"/>
      <c r="I16" s="253"/>
      <c r="J16" s="253"/>
      <c r="K16" s="343"/>
      <c r="Q16" s="254"/>
      <c r="U16" s="329"/>
    </row>
    <row r="17" spans="1:25" ht="57" x14ac:dyDescent="0.85">
      <c r="A17" s="308"/>
      <c r="B17" s="317"/>
      <c r="C17" s="317"/>
      <c r="D17" s="317"/>
      <c r="E17" s="317"/>
      <c r="F17" s="458" t="s">
        <v>337</v>
      </c>
      <c r="G17" s="458"/>
      <c r="H17" s="458"/>
      <c r="I17" s="458"/>
      <c r="J17" s="458"/>
      <c r="K17" s="458"/>
      <c r="L17" s="458"/>
      <c r="M17" s="458"/>
      <c r="N17" s="458"/>
      <c r="O17" s="458"/>
      <c r="P17" s="458"/>
      <c r="Q17" s="458"/>
      <c r="R17" s="245"/>
      <c r="U17" s="247"/>
    </row>
    <row r="18" spans="1:25" ht="51" x14ac:dyDescent="0.85">
      <c r="A18" s="308"/>
      <c r="B18" s="318"/>
      <c r="C18" s="318"/>
      <c r="D18" s="318"/>
      <c r="E18" s="318"/>
      <c r="F18" s="454" t="s">
        <v>342</v>
      </c>
      <c r="G18" s="454"/>
      <c r="H18" s="319" t="s">
        <v>341</v>
      </c>
      <c r="I18" s="319"/>
      <c r="J18" s="319" t="s">
        <v>346</v>
      </c>
      <c r="K18" s="320"/>
      <c r="L18" s="319" t="s">
        <v>347</v>
      </c>
      <c r="M18" s="319" t="s">
        <v>338</v>
      </c>
      <c r="N18" s="454" t="s">
        <v>364</v>
      </c>
      <c r="O18" s="454"/>
      <c r="P18" s="454"/>
      <c r="Q18" s="455" t="s">
        <v>28</v>
      </c>
      <c r="R18" s="245"/>
      <c r="U18" s="248"/>
      <c r="V18" s="247"/>
    </row>
    <row r="19" spans="1:25" ht="53.25" x14ac:dyDescent="0.85">
      <c r="A19" s="317"/>
      <c r="B19" s="317"/>
      <c r="C19" s="317"/>
      <c r="D19" s="317"/>
      <c r="E19" s="317"/>
      <c r="F19" s="456" t="s">
        <v>325</v>
      </c>
      <c r="G19" s="456"/>
      <c r="H19" s="321" t="s">
        <v>242</v>
      </c>
      <c r="I19" s="321"/>
      <c r="J19" s="321" t="s">
        <v>243</v>
      </c>
      <c r="K19" s="320"/>
      <c r="L19" s="322" t="s">
        <v>312</v>
      </c>
      <c r="M19" s="322" t="s">
        <v>313</v>
      </c>
      <c r="N19" s="457" t="s">
        <v>365</v>
      </c>
      <c r="O19" s="457"/>
      <c r="P19" s="457"/>
      <c r="Q19" s="455"/>
      <c r="R19" s="245"/>
      <c r="U19" s="336"/>
      <c r="V19" s="247"/>
    </row>
    <row r="20" spans="1:25" ht="57" x14ac:dyDescent="0.85">
      <c r="A20" s="302" t="s">
        <v>256</v>
      </c>
      <c r="B20" s="302"/>
      <c r="C20" s="302"/>
      <c r="D20" s="302"/>
      <c r="E20" s="302"/>
      <c r="F20" s="459">
        <v>317092.62</v>
      </c>
      <c r="G20" s="459"/>
      <c r="H20" s="309">
        <v>1029.31</v>
      </c>
      <c r="I20" s="309">
        <v>0</v>
      </c>
      <c r="J20" s="309">
        <v>521.62</v>
      </c>
      <c r="K20" s="320"/>
      <c r="L20" s="309">
        <v>616.63</v>
      </c>
      <c r="M20" s="309">
        <v>539.42999999999995</v>
      </c>
      <c r="N20" s="309"/>
      <c r="O20" s="309"/>
      <c r="P20" s="309"/>
      <c r="Q20" s="323">
        <f>+M20+L20+J20+H20+F20</f>
        <v>319799.61</v>
      </c>
      <c r="R20" s="245"/>
      <c r="T20" s="247"/>
      <c r="U20" s="248"/>
      <c r="V20" s="248"/>
      <c r="W20" s="247"/>
      <c r="X20" s="247"/>
    </row>
    <row r="21" spans="1:25" ht="57" x14ac:dyDescent="0.85">
      <c r="A21" s="302" t="s">
        <v>344</v>
      </c>
      <c r="B21" s="302"/>
      <c r="C21" s="302"/>
      <c r="D21" s="302"/>
      <c r="E21" s="302"/>
      <c r="F21" s="460">
        <f>+'1-69'!L48</f>
        <v>27000</v>
      </c>
      <c r="G21" s="460"/>
      <c r="H21" s="310">
        <f>+'2-69'!M47</f>
        <v>93120</v>
      </c>
      <c r="I21" s="310"/>
      <c r="J21" s="310">
        <f>+'2-69'!N47</f>
        <v>46200</v>
      </c>
      <c r="K21" s="365"/>
      <c r="L21" s="324">
        <f>+'2-69'!O47</f>
        <v>46586</v>
      </c>
      <c r="M21" s="324">
        <f>+'2-69'!P47</f>
        <v>24951</v>
      </c>
      <c r="N21" s="324"/>
      <c r="O21" s="324"/>
      <c r="P21" s="324"/>
      <c r="Q21" s="325">
        <f>+M21+L21+J21+H21+F21</f>
        <v>237857</v>
      </c>
      <c r="R21" s="245">
        <f>+Q21-'2-69'!K47</f>
        <v>0</v>
      </c>
      <c r="T21" s="247"/>
      <c r="U21" s="248"/>
      <c r="V21" s="336"/>
      <c r="W21" s="247"/>
      <c r="X21" s="247"/>
      <c r="Y21" s="247"/>
    </row>
    <row r="22" spans="1:25" ht="53.25" hidden="1" customHeight="1" x14ac:dyDescent="0.85">
      <c r="A22" s="302" t="s">
        <v>350</v>
      </c>
      <c r="B22" s="302"/>
      <c r="C22" s="302"/>
      <c r="D22" s="302"/>
      <c r="E22" s="302"/>
      <c r="F22" s="460">
        <v>0</v>
      </c>
      <c r="G22" s="460"/>
      <c r="H22" s="310">
        <v>0</v>
      </c>
      <c r="I22" s="303"/>
      <c r="J22" s="310">
        <v>0</v>
      </c>
      <c r="K22" s="320"/>
      <c r="L22" s="324"/>
      <c r="M22" s="324"/>
      <c r="N22" s="324"/>
      <c r="O22" s="324"/>
      <c r="P22" s="324"/>
      <c r="Q22" s="345">
        <f>+F22+H22+J22+L22+M22</f>
        <v>0</v>
      </c>
      <c r="R22" s="245"/>
      <c r="T22" s="248"/>
      <c r="U22" s="248"/>
      <c r="V22" s="248"/>
      <c r="W22" s="248"/>
      <c r="X22" s="248"/>
      <c r="Y22" s="247"/>
    </row>
    <row r="23" spans="1:25" s="247" customFormat="1" ht="56.25" customHeight="1" x14ac:dyDescent="0.85">
      <c r="A23" s="302" t="s">
        <v>320</v>
      </c>
      <c r="B23" s="302"/>
      <c r="C23" s="302"/>
      <c r="D23" s="302"/>
      <c r="E23" s="302"/>
      <c r="F23" s="459">
        <f>SUM(F20:G22)</f>
        <v>344092.62</v>
      </c>
      <c r="G23" s="459"/>
      <c r="H23" s="309">
        <f>SUM(H20:I22)</f>
        <v>94149.31</v>
      </c>
      <c r="I23" s="309"/>
      <c r="J23" s="309">
        <f>SUM(J20:K22)</f>
        <v>46721.62</v>
      </c>
      <c r="K23" s="309"/>
      <c r="L23" s="326">
        <f>SUM(L20:L22)</f>
        <v>47202.63</v>
      </c>
      <c r="M23" s="326">
        <f>SUM(M20:M22)</f>
        <v>25490.43</v>
      </c>
      <c r="N23" s="326"/>
      <c r="O23" s="326"/>
      <c r="P23" s="326"/>
      <c r="Q23" s="327">
        <f>SUM(F22:M22)</f>
        <v>0</v>
      </c>
      <c r="R23" s="245"/>
      <c r="S23" s="241"/>
      <c r="T23" s="241"/>
      <c r="U23" s="241"/>
      <c r="V23" s="248"/>
      <c r="W23" s="336"/>
      <c r="X23" s="336"/>
      <c r="Y23" s="248"/>
    </row>
    <row r="24" spans="1:25" s="247" customFormat="1" ht="56.25" customHeight="1" x14ac:dyDescent="0.85">
      <c r="A24" s="302" t="s">
        <v>345</v>
      </c>
      <c r="B24" s="308"/>
      <c r="C24" s="308"/>
      <c r="D24" s="308"/>
      <c r="E24" s="308"/>
      <c r="F24" s="461"/>
      <c r="G24" s="461"/>
      <c r="H24" s="303">
        <f>+H21</f>
        <v>93120</v>
      </c>
      <c r="I24" s="303">
        <f>+I21</f>
        <v>0</v>
      </c>
      <c r="J24" s="303">
        <f>+J21</f>
        <v>46200</v>
      </c>
      <c r="K24" s="320"/>
      <c r="L24" s="303">
        <f>+L21</f>
        <v>46586</v>
      </c>
      <c r="M24" s="303">
        <f>+M21</f>
        <v>24951</v>
      </c>
      <c r="N24" s="303"/>
      <c r="O24" s="303"/>
      <c r="P24" s="303"/>
      <c r="Q24" s="328">
        <f>+M24+L24+J24+H24+O24</f>
        <v>210857</v>
      </c>
      <c r="R24" s="245">
        <f>+Q24-'สรุป 2-69'!Q8</f>
        <v>0</v>
      </c>
      <c r="S24" s="241"/>
      <c r="T24" s="241"/>
      <c r="U24" s="241"/>
      <c r="V24" s="248"/>
      <c r="W24" s="248"/>
      <c r="X24" s="248"/>
      <c r="Y24" s="336"/>
    </row>
    <row r="25" spans="1:25" s="248" customFormat="1" ht="56.25" customHeight="1" thickBot="1" x14ac:dyDescent="0.9">
      <c r="A25" s="302" t="s">
        <v>403</v>
      </c>
      <c r="B25" s="308"/>
      <c r="C25" s="308"/>
      <c r="D25" s="308"/>
      <c r="E25" s="308"/>
      <c r="F25" s="450">
        <f>+F23</f>
        <v>344092.62</v>
      </c>
      <c r="G25" s="450"/>
      <c r="H25" s="330">
        <f>+H23-H24</f>
        <v>1029.3099999999977</v>
      </c>
      <c r="I25" s="331">
        <f>+I22</f>
        <v>0</v>
      </c>
      <c r="J25" s="330">
        <f>+J23-J24</f>
        <v>521.62000000000262</v>
      </c>
      <c r="K25" s="332"/>
      <c r="L25" s="330">
        <f>+L23-L24</f>
        <v>616.62999999999738</v>
      </c>
      <c r="M25" s="330">
        <f>+M23-M24</f>
        <v>539.43000000000029</v>
      </c>
      <c r="N25" s="330"/>
      <c r="O25" s="330"/>
      <c r="P25" s="330"/>
      <c r="Q25" s="330">
        <f>+M25+L25+J25+H25+F25</f>
        <v>346799.61</v>
      </c>
      <c r="R25" s="245"/>
      <c r="S25" s="241"/>
      <c r="T25" s="241"/>
      <c r="U25" s="241"/>
    </row>
    <row r="26" spans="1:25" s="336" customFormat="1" ht="56.25" customHeight="1" x14ac:dyDescent="0.85">
      <c r="A26" s="248"/>
      <c r="B26" s="248"/>
      <c r="C26" s="248"/>
      <c r="D26" s="248"/>
      <c r="E26" s="248"/>
      <c r="F26" s="241"/>
      <c r="G26" s="241"/>
      <c r="H26" s="241"/>
      <c r="I26" s="241"/>
      <c r="J26" s="241"/>
      <c r="K26" s="245"/>
      <c r="L26" s="241"/>
      <c r="M26" s="241"/>
      <c r="N26" s="245"/>
      <c r="O26" s="248"/>
      <c r="P26" s="248"/>
      <c r="Q26" s="248"/>
      <c r="R26" s="245"/>
      <c r="S26" s="241"/>
      <c r="T26" s="241"/>
      <c r="U26" s="241"/>
      <c r="V26" s="241"/>
    </row>
    <row r="27" spans="1:25" s="248" customFormat="1" ht="56.25" customHeight="1" x14ac:dyDescent="0.85">
      <c r="A27" s="336"/>
      <c r="B27" s="336"/>
      <c r="C27" s="336"/>
      <c r="D27" s="336"/>
      <c r="E27" s="336"/>
      <c r="F27" s="337"/>
      <c r="G27" s="337">
        <f>+F25-344092.62</f>
        <v>0</v>
      </c>
      <c r="H27" s="337">
        <f>+H25-1029.31</f>
        <v>-2.2737367544323206E-12</v>
      </c>
      <c r="I27" s="337"/>
      <c r="J27" s="337">
        <f>+J25-521.62</f>
        <v>2.6147972675971687E-12</v>
      </c>
      <c r="K27" s="337"/>
      <c r="L27" s="337">
        <f>+L25-616.63</f>
        <v>-2.6147972675971687E-12</v>
      </c>
      <c r="M27" s="337">
        <f>+M25-539.43</f>
        <v>0</v>
      </c>
      <c r="N27" s="337"/>
      <c r="O27" s="336"/>
      <c r="P27" s="336"/>
      <c r="Q27" s="336"/>
      <c r="R27" s="245"/>
      <c r="S27" s="241"/>
      <c r="T27" s="241"/>
      <c r="U27" s="241"/>
      <c r="V27" s="241"/>
    </row>
    <row r="28" spans="1:25" s="248" customFormat="1" ht="56.25" customHeight="1" x14ac:dyDescent="0.85">
      <c r="A28" s="241"/>
      <c r="B28" s="241"/>
      <c r="C28" s="241"/>
      <c r="D28" s="241"/>
      <c r="E28" s="241"/>
      <c r="F28" s="241"/>
      <c r="G28" s="241"/>
      <c r="H28" s="245"/>
      <c r="I28" s="241"/>
      <c r="J28" s="245"/>
      <c r="K28" s="245"/>
      <c r="L28" s="245"/>
      <c r="M28" s="245"/>
      <c r="N28" s="241"/>
      <c r="R28" s="245"/>
      <c r="S28" s="241"/>
      <c r="T28" s="241"/>
      <c r="U28" s="241"/>
      <c r="V28" s="241"/>
    </row>
    <row r="29" spans="1:25" s="248" customFormat="1" ht="56.25" customHeight="1" x14ac:dyDescent="0.85">
      <c r="A29" s="241"/>
      <c r="B29" s="241"/>
      <c r="C29" s="241"/>
      <c r="D29" s="241"/>
      <c r="E29" s="241"/>
      <c r="F29" s="241"/>
      <c r="G29" s="245"/>
      <c r="H29" s="241"/>
      <c r="I29" s="241"/>
      <c r="J29" s="241"/>
      <c r="K29" s="245"/>
      <c r="L29" s="241"/>
      <c r="M29" s="241"/>
      <c r="N29" s="241"/>
      <c r="R29" s="245"/>
      <c r="S29" s="241"/>
      <c r="T29" s="241"/>
      <c r="U29" s="241"/>
      <c r="V29" s="241"/>
    </row>
    <row r="30" spans="1:25" ht="46.5" customHeight="1" x14ac:dyDescent="0.85">
      <c r="K30" s="245"/>
      <c r="O30" s="248"/>
      <c r="P30" s="248"/>
      <c r="Q30" s="248"/>
      <c r="R30" s="245"/>
    </row>
    <row r="31" spans="1:25" x14ac:dyDescent="0.8">
      <c r="K31" s="245"/>
      <c r="R31" s="245"/>
    </row>
    <row r="32" spans="1:25" x14ac:dyDescent="0.8">
      <c r="K32" s="245"/>
    </row>
    <row r="33" spans="11:11" x14ac:dyDescent="0.8">
      <c r="K33" s="245"/>
    </row>
  </sheetData>
  <mergeCells count="14">
    <mergeCell ref="F25:G25"/>
    <mergeCell ref="A1:Q1"/>
    <mergeCell ref="L3:Q3"/>
    <mergeCell ref="F18:G18"/>
    <mergeCell ref="N18:P18"/>
    <mergeCell ref="Q18:Q19"/>
    <mergeCell ref="F19:G19"/>
    <mergeCell ref="N19:P19"/>
    <mergeCell ref="F17:Q17"/>
    <mergeCell ref="F20:G20"/>
    <mergeCell ref="F21:G21"/>
    <mergeCell ref="F22:G22"/>
    <mergeCell ref="F23:G23"/>
    <mergeCell ref="F24:G24"/>
  </mergeCells>
  <pageMargins left="0.19685039370078741" right="0.11811023622047245" top="0.23622047244094491" bottom="0.11811023622047245" header="0.19685039370078741" footer="0.11811023622047245"/>
  <pageSetup paperSize="5" scale="43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8CA2-1BAA-4F63-8AD6-7799311688D7}">
  <dimension ref="A1:Y33"/>
  <sheetViews>
    <sheetView zoomScale="50" zoomScaleNormal="50" workbookViewId="0">
      <pane ySplit="2" topLeftCell="A3" activePane="bottomLeft" state="frozen"/>
      <selection activeCell="L14" sqref="L14"/>
      <selection pane="bottomLeft" activeCell="D9" sqref="D8:H9"/>
    </sheetView>
  </sheetViews>
  <sheetFormatPr defaultRowHeight="39.75" x14ac:dyDescent="0.8"/>
  <cols>
    <col min="1" max="1" width="10.375" style="241" customWidth="1"/>
    <col min="2" max="2" width="9.625" style="241" customWidth="1"/>
    <col min="3" max="3" width="5.375" style="241" customWidth="1"/>
    <col min="4" max="4" width="13.125" style="241" customWidth="1"/>
    <col min="5" max="5" width="53.5" style="241" customWidth="1"/>
    <col min="6" max="6" width="14.25" style="241" customWidth="1"/>
    <col min="7" max="7" width="37.125" style="241" customWidth="1"/>
    <col min="8" max="8" width="44.25" style="241" customWidth="1"/>
    <col min="9" max="9" width="1.25" style="241" customWidth="1"/>
    <col min="10" max="10" width="45.375" style="241" customWidth="1"/>
    <col min="11" max="11" width="1.5" style="241" customWidth="1"/>
    <col min="12" max="12" width="47.625" style="241" customWidth="1"/>
    <col min="13" max="13" width="51.75" style="241" customWidth="1"/>
    <col min="14" max="14" width="2.375" style="241" hidden="1" customWidth="1"/>
    <col min="15" max="15" width="26.125" style="241" hidden="1" customWidth="1"/>
    <col min="16" max="16" width="2.75" style="241" hidden="1" customWidth="1"/>
    <col min="17" max="17" width="36.5" style="241" customWidth="1"/>
    <col min="18" max="18" width="23.5" style="241" bestFit="1" customWidth="1"/>
    <col min="19" max="20" width="9" style="241"/>
    <col min="21" max="21" width="17" style="241" bestFit="1" customWidth="1"/>
    <col min="22" max="16384" width="9" style="241"/>
  </cols>
  <sheetData>
    <row r="1" spans="1:25" s="254" customFormat="1" ht="64.5" x14ac:dyDescent="1.1499999999999999">
      <c r="A1" s="451" t="s">
        <v>383</v>
      </c>
      <c r="B1" s="451"/>
      <c r="C1" s="451"/>
      <c r="D1" s="45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451"/>
      <c r="P1" s="451"/>
      <c r="Q1" s="451"/>
      <c r="R1" s="256"/>
      <c r="S1" s="256"/>
      <c r="T1" s="256"/>
      <c r="U1" s="256"/>
      <c r="V1" s="256"/>
      <c r="W1" s="256"/>
    </row>
    <row r="2" spans="1:25" ht="15" customHeight="1" x14ac:dyDescent="0.8">
      <c r="A2" s="249"/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3"/>
      <c r="P2" s="243"/>
      <c r="Q2" s="242"/>
      <c r="R2" s="242"/>
      <c r="S2" s="242"/>
      <c r="T2" s="242"/>
      <c r="U2" s="242"/>
      <c r="V2" s="242"/>
      <c r="W2" s="242"/>
    </row>
    <row r="3" spans="1:25" ht="50.25" customHeight="1" x14ac:dyDescent="1.1499999999999999">
      <c r="A3" s="250"/>
      <c r="B3" s="301" t="s">
        <v>384</v>
      </c>
      <c r="C3" s="301"/>
      <c r="D3" s="305"/>
      <c r="E3" s="305"/>
      <c r="F3" s="305"/>
      <c r="G3" s="305"/>
      <c r="H3" s="304"/>
      <c r="I3" s="304"/>
      <c r="J3" s="304">
        <f>+'1-69'!E48</f>
        <v>291739</v>
      </c>
      <c r="K3" s="254"/>
      <c r="L3" s="452" t="s">
        <v>317</v>
      </c>
      <c r="M3" s="453"/>
      <c r="N3" s="453"/>
      <c r="O3" s="453"/>
      <c r="P3" s="453"/>
      <c r="Q3" s="453"/>
      <c r="R3" s="270"/>
      <c r="S3" s="270"/>
      <c r="T3" s="270"/>
      <c r="U3" s="270"/>
      <c r="V3" s="244"/>
      <c r="W3" s="244"/>
    </row>
    <row r="4" spans="1:25" ht="51.75" customHeight="1" x14ac:dyDescent="1.1499999999999999">
      <c r="A4" s="250"/>
      <c r="B4" s="306" t="s">
        <v>339</v>
      </c>
      <c r="C4" s="301"/>
      <c r="D4" s="301"/>
      <c r="E4" s="305"/>
      <c r="F4" s="305"/>
      <c r="G4" s="305"/>
      <c r="H4" s="304"/>
      <c r="I4" s="304"/>
      <c r="J4" s="307"/>
      <c r="K4" s="255"/>
      <c r="L4" s="311" t="s">
        <v>276</v>
      </c>
      <c r="M4" s="302"/>
      <c r="N4" s="302"/>
      <c r="O4" s="302"/>
      <c r="P4" s="302"/>
      <c r="Q4" s="312">
        <f>+H24</f>
        <v>92152</v>
      </c>
      <c r="R4" s="254"/>
      <c r="S4" s="244"/>
      <c r="T4" s="244"/>
      <c r="U4" s="244"/>
      <c r="V4" s="244"/>
      <c r="W4" s="244"/>
      <c r="X4" s="244"/>
      <c r="Y4" s="244"/>
    </row>
    <row r="5" spans="1:25" ht="51.75" customHeight="1" x14ac:dyDescent="1.1499999999999999">
      <c r="A5" s="250"/>
      <c r="B5" s="301"/>
      <c r="C5" s="363" t="s">
        <v>387</v>
      </c>
      <c r="E5" s="302"/>
      <c r="F5" s="302"/>
      <c r="G5" s="302"/>
      <c r="H5" s="309">
        <v>5072</v>
      </c>
      <c r="I5" s="308"/>
      <c r="J5" s="304"/>
      <c r="K5" s="255"/>
      <c r="L5" s="311" t="s">
        <v>306</v>
      </c>
      <c r="M5" s="302"/>
      <c r="N5" s="302"/>
      <c r="O5" s="302"/>
      <c r="P5" s="302"/>
      <c r="Q5" s="312">
        <f>+J24</f>
        <v>46200</v>
      </c>
      <c r="R5" s="254"/>
      <c r="S5" s="244"/>
      <c r="T5" s="244"/>
      <c r="U5" s="244"/>
      <c r="V5" s="244"/>
      <c r="W5" s="244"/>
      <c r="X5" s="244"/>
      <c r="Y5" s="244"/>
    </row>
    <row r="6" spans="1:25" ht="51.75" customHeight="1" x14ac:dyDescent="1.1499999999999999">
      <c r="A6" s="250"/>
      <c r="B6" s="306"/>
      <c r="C6" s="301" t="s">
        <v>354</v>
      </c>
      <c r="D6" s="301"/>
      <c r="E6" s="305"/>
      <c r="F6" s="305"/>
      <c r="G6" s="302"/>
      <c r="H6" s="309"/>
      <c r="I6" s="304"/>
      <c r="J6" s="304"/>
      <c r="K6" s="255"/>
      <c r="L6" s="311" t="s">
        <v>302</v>
      </c>
      <c r="M6" s="302"/>
      <c r="N6" s="302"/>
      <c r="O6" s="302"/>
      <c r="P6" s="302"/>
      <c r="Q6" s="312">
        <f>+L24</f>
        <v>87374</v>
      </c>
      <c r="R6" s="254"/>
      <c r="S6" s="244"/>
      <c r="T6" s="244"/>
      <c r="U6" s="244"/>
      <c r="V6" s="244"/>
      <c r="W6" s="244"/>
      <c r="X6" s="244"/>
      <c r="Y6" s="244"/>
    </row>
    <row r="7" spans="1:25" ht="51.75" customHeight="1" x14ac:dyDescent="1.1499999999999999">
      <c r="A7" s="250"/>
      <c r="C7" s="301"/>
      <c r="D7" s="301" t="s">
        <v>355</v>
      </c>
      <c r="E7" s="305"/>
      <c r="F7" s="305"/>
      <c r="G7" s="302"/>
      <c r="H7" s="309">
        <v>12000</v>
      </c>
      <c r="K7" s="255"/>
      <c r="L7" s="311" t="s">
        <v>351</v>
      </c>
      <c r="M7" s="302"/>
      <c r="N7" s="302"/>
      <c r="O7" s="302"/>
      <c r="P7" s="302"/>
      <c r="Q7" s="312">
        <f>+M24</f>
        <v>23717</v>
      </c>
      <c r="R7" s="254"/>
      <c r="S7" s="244"/>
      <c r="T7" s="244"/>
      <c r="U7" s="244"/>
      <c r="V7" s="244"/>
      <c r="W7" s="244"/>
      <c r="X7" s="244"/>
      <c r="Y7" s="244"/>
    </row>
    <row r="8" spans="1:25" ht="51.75" customHeight="1" thickBot="1" x14ac:dyDescent="1.2">
      <c r="A8" s="250"/>
      <c r="B8" s="301"/>
      <c r="C8" s="301"/>
      <c r="D8" s="301" t="s">
        <v>356</v>
      </c>
      <c r="E8" s="305"/>
      <c r="F8" s="305"/>
      <c r="G8" s="302"/>
      <c r="H8" s="303">
        <v>3000</v>
      </c>
      <c r="I8" s="304"/>
      <c r="J8" s="309"/>
      <c r="K8" s="255"/>
      <c r="L8" s="313" t="s">
        <v>328</v>
      </c>
      <c r="M8" s="302"/>
      <c r="N8" s="302"/>
      <c r="O8" s="302"/>
      <c r="P8" s="302"/>
      <c r="Q8" s="314">
        <f>SUM(Q4:Q7)</f>
        <v>249443</v>
      </c>
      <c r="R8" s="267"/>
      <c r="S8" s="244"/>
      <c r="T8" s="244"/>
      <c r="U8" s="244"/>
      <c r="V8" s="244"/>
      <c r="W8" s="244"/>
      <c r="X8" s="244"/>
      <c r="Y8" s="244"/>
    </row>
    <row r="9" spans="1:25" ht="51.75" customHeight="1" x14ac:dyDescent="1.05">
      <c r="A9" s="251"/>
      <c r="B9" s="301"/>
      <c r="C9" s="301"/>
      <c r="D9" s="301" t="s">
        <v>357</v>
      </c>
      <c r="E9" s="305"/>
      <c r="F9" s="305"/>
      <c r="G9" s="302"/>
      <c r="H9" s="309">
        <v>1200</v>
      </c>
      <c r="K9" s="255"/>
      <c r="L9" s="311" t="s">
        <v>318</v>
      </c>
      <c r="Q9" s="312">
        <f>+F21</f>
        <v>27000</v>
      </c>
      <c r="R9" s="245"/>
      <c r="S9" s="244"/>
      <c r="T9" s="244"/>
      <c r="U9" s="244"/>
      <c r="V9" s="244"/>
      <c r="W9" s="244"/>
      <c r="X9" s="244"/>
      <c r="Y9" s="244"/>
    </row>
    <row r="10" spans="1:25" ht="51.75" customHeight="1" thickBot="1" x14ac:dyDescent="1.2">
      <c r="A10" s="251"/>
      <c r="B10" s="301"/>
      <c r="C10" s="301"/>
      <c r="D10" s="301" t="s">
        <v>385</v>
      </c>
      <c r="E10" s="302"/>
      <c r="F10" s="302"/>
      <c r="G10" s="302"/>
      <c r="H10" s="310">
        <v>4400</v>
      </c>
      <c r="I10" s="304"/>
      <c r="J10" s="310">
        <f>SUM(H5:H10)</f>
        <v>25672</v>
      </c>
      <c r="K10" s="255"/>
      <c r="L10" s="315" t="s">
        <v>367</v>
      </c>
      <c r="Q10" s="316">
        <f>SUM(Q8:Q9)</f>
        <v>276443</v>
      </c>
      <c r="R10" s="267">
        <f>+Q10-Q21</f>
        <v>0</v>
      </c>
      <c r="S10" s="244"/>
      <c r="T10" s="244"/>
      <c r="U10" s="244"/>
      <c r="V10" s="244"/>
      <c r="W10" s="244"/>
      <c r="X10" s="244"/>
      <c r="Y10" s="244"/>
    </row>
    <row r="11" spans="1:25" ht="51.75" customHeight="1" thickTop="1" x14ac:dyDescent="1.1499999999999999">
      <c r="A11" s="251"/>
      <c r="B11" s="306" t="s">
        <v>340</v>
      </c>
      <c r="C11" s="301" t="s">
        <v>285</v>
      </c>
      <c r="D11" s="301"/>
      <c r="E11" s="305"/>
      <c r="F11" s="305"/>
      <c r="G11" s="304"/>
      <c r="H11" s="303"/>
      <c r="I11" s="304"/>
      <c r="J11" s="309"/>
      <c r="K11" s="255"/>
      <c r="L11" s="315"/>
      <c r="R11" s="254"/>
      <c r="V11" s="244"/>
      <c r="W11" s="244"/>
      <c r="X11" s="244"/>
      <c r="Y11" s="244"/>
    </row>
    <row r="12" spans="1:25" ht="51.75" customHeight="1" x14ac:dyDescent="1.1499999999999999">
      <c r="A12" s="251"/>
      <c r="D12" s="301" t="s">
        <v>358</v>
      </c>
      <c r="E12" s="302"/>
      <c r="F12" s="302"/>
      <c r="G12" s="309"/>
      <c r="H12" s="303">
        <v>-40000</v>
      </c>
      <c r="I12" s="304"/>
      <c r="J12" s="309"/>
      <c r="K12" s="255"/>
      <c r="L12" s="246"/>
      <c r="R12" s="254"/>
      <c r="V12" s="244"/>
      <c r="W12" s="244"/>
      <c r="X12" s="244"/>
      <c r="Y12" s="244"/>
    </row>
    <row r="13" spans="1:25" ht="51.75" customHeight="1" x14ac:dyDescent="1.1499999999999999">
      <c r="A13" s="251"/>
      <c r="D13" s="301" t="s">
        <v>388</v>
      </c>
      <c r="E13" s="302"/>
      <c r="F13" s="302"/>
      <c r="G13" s="309"/>
      <c r="H13" s="310">
        <v>-968</v>
      </c>
      <c r="I13" s="304"/>
      <c r="J13" s="309">
        <f>SUM(H12:H13)</f>
        <v>-40968</v>
      </c>
      <c r="K13" s="255"/>
      <c r="L13" s="246"/>
      <c r="R13" s="254"/>
      <c r="V13" s="244"/>
      <c r="W13" s="244"/>
      <c r="X13" s="244"/>
      <c r="Y13" s="244"/>
    </row>
    <row r="14" spans="1:25" ht="51.75" customHeight="1" thickBot="1" x14ac:dyDescent="1.2">
      <c r="B14" s="268" t="s">
        <v>329</v>
      </c>
      <c r="C14" s="254"/>
      <c r="D14" s="266"/>
      <c r="E14" s="254"/>
      <c r="F14" s="254"/>
      <c r="G14" s="254"/>
      <c r="H14" s="254"/>
      <c r="I14" s="267"/>
      <c r="J14" s="269">
        <f>SUM(J3:J13)</f>
        <v>276443</v>
      </c>
      <c r="K14" s="344"/>
      <c r="R14" s="254"/>
      <c r="W14" s="244"/>
      <c r="X14" s="244"/>
      <c r="Y14" s="244"/>
    </row>
    <row r="15" spans="1:25" ht="36.75" customHeight="1" thickTop="1" x14ac:dyDescent="1.1499999999999999">
      <c r="B15" s="251"/>
      <c r="C15" s="251"/>
      <c r="D15" s="252"/>
      <c r="E15" s="251"/>
      <c r="F15" s="251"/>
      <c r="G15" s="251"/>
      <c r="H15" s="253"/>
      <c r="I15" s="253"/>
      <c r="J15" s="253">
        <f>+J14-'1-69'!K48</f>
        <v>0</v>
      </c>
      <c r="K15" s="343"/>
      <c r="Q15" s="254"/>
      <c r="U15" s="329"/>
    </row>
    <row r="16" spans="1:25" ht="36.75" customHeight="1" x14ac:dyDescent="1.1499999999999999">
      <c r="B16" s="251"/>
      <c r="C16" s="251"/>
      <c r="D16" s="252"/>
      <c r="E16" s="251"/>
      <c r="F16" s="251"/>
      <c r="G16" s="251"/>
      <c r="H16" s="253"/>
      <c r="I16" s="253"/>
      <c r="J16" s="253"/>
      <c r="K16" s="343"/>
      <c r="Q16" s="254"/>
      <c r="U16" s="329"/>
    </row>
    <row r="17" spans="1:25" ht="57" x14ac:dyDescent="0.85">
      <c r="A17" s="308"/>
      <c r="B17" s="317"/>
      <c r="C17" s="317"/>
      <c r="D17" s="317"/>
      <c r="E17" s="317"/>
      <c r="F17" s="458" t="s">
        <v>337</v>
      </c>
      <c r="G17" s="458"/>
      <c r="H17" s="458"/>
      <c r="I17" s="458"/>
      <c r="J17" s="458"/>
      <c r="K17" s="458"/>
      <c r="L17" s="458"/>
      <c r="M17" s="458"/>
      <c r="N17" s="458"/>
      <c r="O17" s="458"/>
      <c r="P17" s="458"/>
      <c r="Q17" s="458"/>
      <c r="R17" s="245"/>
      <c r="U17" s="247"/>
    </row>
    <row r="18" spans="1:25" ht="51" x14ac:dyDescent="0.85">
      <c r="A18" s="308"/>
      <c r="B18" s="318"/>
      <c r="C18" s="318"/>
      <c r="D18" s="318"/>
      <c r="E18" s="318"/>
      <c r="F18" s="454" t="s">
        <v>342</v>
      </c>
      <c r="G18" s="454"/>
      <c r="H18" s="319" t="s">
        <v>341</v>
      </c>
      <c r="I18" s="319"/>
      <c r="J18" s="319" t="s">
        <v>346</v>
      </c>
      <c r="K18" s="320"/>
      <c r="L18" s="319" t="s">
        <v>347</v>
      </c>
      <c r="M18" s="319" t="s">
        <v>338</v>
      </c>
      <c r="N18" s="454" t="s">
        <v>364</v>
      </c>
      <c r="O18" s="454"/>
      <c r="P18" s="454"/>
      <c r="Q18" s="455" t="s">
        <v>28</v>
      </c>
      <c r="R18" s="245"/>
      <c r="U18" s="248"/>
      <c r="V18" s="247"/>
    </row>
    <row r="19" spans="1:25" ht="53.25" x14ac:dyDescent="0.85">
      <c r="A19" s="317"/>
      <c r="B19" s="317"/>
      <c r="C19" s="317"/>
      <c r="D19" s="317"/>
      <c r="E19" s="317"/>
      <c r="F19" s="456" t="s">
        <v>325</v>
      </c>
      <c r="G19" s="456"/>
      <c r="H19" s="321" t="s">
        <v>242</v>
      </c>
      <c r="I19" s="321"/>
      <c r="J19" s="321" t="s">
        <v>243</v>
      </c>
      <c r="K19" s="320"/>
      <c r="L19" s="322" t="s">
        <v>312</v>
      </c>
      <c r="M19" s="322" t="s">
        <v>313</v>
      </c>
      <c r="N19" s="457" t="s">
        <v>365</v>
      </c>
      <c r="O19" s="457"/>
      <c r="P19" s="457"/>
      <c r="Q19" s="455"/>
      <c r="R19" s="245"/>
      <c r="U19" s="336"/>
      <c r="V19" s="247"/>
    </row>
    <row r="20" spans="1:25" ht="57" x14ac:dyDescent="0.85">
      <c r="A20" s="302" t="s">
        <v>256</v>
      </c>
      <c r="B20" s="302"/>
      <c r="C20" s="302"/>
      <c r="D20" s="302"/>
      <c r="E20" s="302"/>
      <c r="F20" s="459">
        <v>290092.62</v>
      </c>
      <c r="G20" s="459"/>
      <c r="H20" s="309">
        <v>1029.31</v>
      </c>
      <c r="I20" s="309">
        <v>0</v>
      </c>
      <c r="J20" s="309">
        <v>521.62</v>
      </c>
      <c r="K20" s="320"/>
      <c r="L20" s="309">
        <v>576.68000000000757</v>
      </c>
      <c r="M20" s="309">
        <v>519.59999999999854</v>
      </c>
      <c r="N20" s="309"/>
      <c r="O20" s="309"/>
      <c r="P20" s="309"/>
      <c r="Q20" s="323">
        <f>+M20+L20+J20+H20+F20</f>
        <v>292739.83</v>
      </c>
      <c r="R20" s="245"/>
      <c r="T20" s="247"/>
      <c r="U20" s="248"/>
      <c r="V20" s="248"/>
      <c r="W20" s="247"/>
      <c r="X20" s="247"/>
    </row>
    <row r="21" spans="1:25" ht="57" x14ac:dyDescent="0.85">
      <c r="A21" s="302" t="s">
        <v>344</v>
      </c>
      <c r="B21" s="302"/>
      <c r="C21" s="302"/>
      <c r="D21" s="302"/>
      <c r="E21" s="302"/>
      <c r="F21" s="461">
        <f>+'1-69'!L48</f>
        <v>27000</v>
      </c>
      <c r="G21" s="461"/>
      <c r="H21" s="303">
        <f>+'1-69'!M48</f>
        <v>92152</v>
      </c>
      <c r="I21" s="303"/>
      <c r="J21" s="303">
        <f>+'1-69'!N48</f>
        <v>46200</v>
      </c>
      <c r="K21" s="320"/>
      <c r="L21" s="324">
        <f>+'1-69'!O48</f>
        <v>87374</v>
      </c>
      <c r="M21" s="324">
        <f>+'1-69'!P48</f>
        <v>23717</v>
      </c>
      <c r="N21" s="324"/>
      <c r="O21" s="324"/>
      <c r="P21" s="324"/>
      <c r="Q21" s="325">
        <f>+M21+L21+J21+H21+F21</f>
        <v>276443</v>
      </c>
      <c r="R21" s="245">
        <f>+Q21-'1-69'!K48</f>
        <v>0</v>
      </c>
      <c r="T21" s="247"/>
      <c r="U21" s="248"/>
      <c r="V21" s="336"/>
      <c r="W21" s="247"/>
      <c r="X21" s="247"/>
      <c r="Y21" s="247"/>
    </row>
    <row r="22" spans="1:25" ht="53.25" customHeight="1" x14ac:dyDescent="0.85">
      <c r="A22" s="302" t="s">
        <v>350</v>
      </c>
      <c r="B22" s="302"/>
      <c r="C22" s="302"/>
      <c r="D22" s="302"/>
      <c r="E22" s="302"/>
      <c r="F22" s="460">
        <v>0</v>
      </c>
      <c r="G22" s="460"/>
      <c r="H22" s="310">
        <v>0</v>
      </c>
      <c r="I22" s="303"/>
      <c r="J22" s="310">
        <v>0</v>
      </c>
      <c r="K22" s="320"/>
      <c r="L22" s="324">
        <v>39.950000000000003</v>
      </c>
      <c r="M22" s="324">
        <v>19.829999999999998</v>
      </c>
      <c r="N22" s="324"/>
      <c r="O22" s="324"/>
      <c r="P22" s="324"/>
      <c r="Q22" s="345">
        <f>+F22+H22+J22+L22+M22</f>
        <v>59.78</v>
      </c>
      <c r="R22" s="245"/>
      <c r="T22" s="248"/>
      <c r="U22" s="248"/>
      <c r="V22" s="248"/>
      <c r="W22" s="248"/>
      <c r="X22" s="248"/>
      <c r="Y22" s="247"/>
    </row>
    <row r="23" spans="1:25" s="247" customFormat="1" ht="56.25" customHeight="1" x14ac:dyDescent="0.85">
      <c r="A23" s="302" t="s">
        <v>320</v>
      </c>
      <c r="B23" s="302"/>
      <c r="C23" s="302"/>
      <c r="D23" s="302"/>
      <c r="E23" s="302"/>
      <c r="F23" s="459">
        <f>SUM(F20:G22)</f>
        <v>317092.62</v>
      </c>
      <c r="G23" s="459"/>
      <c r="H23" s="309">
        <f>SUM(H20:I22)</f>
        <v>93181.31</v>
      </c>
      <c r="I23" s="309"/>
      <c r="J23" s="309">
        <f>SUM(J20:K22)</f>
        <v>46721.62</v>
      </c>
      <c r="K23" s="309"/>
      <c r="L23" s="326">
        <f>SUM(L20:L22)</f>
        <v>87990.63</v>
      </c>
      <c r="M23" s="326">
        <f>SUM(M20:M22)</f>
        <v>24256.43</v>
      </c>
      <c r="N23" s="326"/>
      <c r="O23" s="326"/>
      <c r="P23" s="326"/>
      <c r="Q23" s="327">
        <f>SUM(F22:M22)</f>
        <v>59.78</v>
      </c>
      <c r="R23" s="245"/>
      <c r="S23" s="241"/>
      <c r="T23" s="241"/>
      <c r="U23" s="241"/>
      <c r="V23" s="248"/>
      <c r="W23" s="336"/>
      <c r="X23" s="336"/>
      <c r="Y23" s="248"/>
    </row>
    <row r="24" spans="1:25" s="247" customFormat="1" ht="56.25" customHeight="1" x14ac:dyDescent="0.85">
      <c r="A24" s="302" t="s">
        <v>345</v>
      </c>
      <c r="B24" s="308"/>
      <c r="C24" s="308"/>
      <c r="D24" s="308"/>
      <c r="E24" s="308"/>
      <c r="F24" s="461"/>
      <c r="G24" s="461"/>
      <c r="H24" s="303">
        <f>+H21</f>
        <v>92152</v>
      </c>
      <c r="I24" s="303">
        <f>+I21</f>
        <v>0</v>
      </c>
      <c r="J24" s="303">
        <f>+J21</f>
        <v>46200</v>
      </c>
      <c r="K24" s="320"/>
      <c r="L24" s="303">
        <f>+L21</f>
        <v>87374</v>
      </c>
      <c r="M24" s="303">
        <f>+M21</f>
        <v>23717</v>
      </c>
      <c r="N24" s="303"/>
      <c r="O24" s="303"/>
      <c r="P24" s="303"/>
      <c r="Q24" s="328">
        <f>+M24+L24+J24+H24+O24</f>
        <v>249443</v>
      </c>
      <c r="R24" s="245">
        <f>+Q24-'สรุป 1-69'!Q8</f>
        <v>0</v>
      </c>
      <c r="S24" s="241"/>
      <c r="T24" s="241"/>
      <c r="U24" s="241"/>
      <c r="V24" s="248"/>
      <c r="W24" s="248"/>
      <c r="X24" s="248"/>
      <c r="Y24" s="336"/>
    </row>
    <row r="25" spans="1:25" s="248" customFormat="1" ht="56.25" customHeight="1" thickBot="1" x14ac:dyDescent="0.9">
      <c r="A25" s="302" t="s">
        <v>386</v>
      </c>
      <c r="B25" s="308"/>
      <c r="C25" s="308"/>
      <c r="D25" s="308"/>
      <c r="E25" s="308"/>
      <c r="F25" s="450">
        <f>+F23</f>
        <v>317092.62</v>
      </c>
      <c r="G25" s="450"/>
      <c r="H25" s="330">
        <f>+H23-H24</f>
        <v>1029.3099999999977</v>
      </c>
      <c r="I25" s="331">
        <f>+I22</f>
        <v>0</v>
      </c>
      <c r="J25" s="330">
        <f>+J23-J24</f>
        <v>521.62000000000262</v>
      </c>
      <c r="K25" s="332"/>
      <c r="L25" s="330">
        <f>+L23-L24</f>
        <v>616.63000000000466</v>
      </c>
      <c r="M25" s="330">
        <f>+M23-M24</f>
        <v>539.43000000000029</v>
      </c>
      <c r="N25" s="330"/>
      <c r="O25" s="330"/>
      <c r="P25" s="330"/>
      <c r="Q25" s="330">
        <f>+M25+L25+J25+H25+F25</f>
        <v>319799.61</v>
      </c>
      <c r="R25" s="245"/>
      <c r="S25" s="241"/>
      <c r="T25" s="241"/>
      <c r="U25" s="241"/>
    </row>
    <row r="26" spans="1:25" s="336" customFormat="1" ht="56.25" customHeight="1" x14ac:dyDescent="0.85">
      <c r="A26" s="248"/>
      <c r="B26" s="248"/>
      <c r="C26" s="248"/>
      <c r="D26" s="248"/>
      <c r="E26" s="248"/>
      <c r="F26" s="241"/>
      <c r="G26" s="241"/>
      <c r="H26" s="241"/>
      <c r="I26" s="241"/>
      <c r="J26" s="241"/>
      <c r="K26" s="245"/>
      <c r="L26" s="241"/>
      <c r="M26" s="241"/>
      <c r="N26" s="245"/>
      <c r="O26" s="248"/>
      <c r="P26" s="248"/>
      <c r="Q26" s="248"/>
      <c r="R26" s="245"/>
      <c r="S26" s="241"/>
      <c r="T26" s="241"/>
      <c r="U26" s="241"/>
      <c r="V26" s="241"/>
    </row>
    <row r="27" spans="1:25" s="248" customFormat="1" ht="56.25" customHeight="1" x14ac:dyDescent="0.85">
      <c r="A27" s="336"/>
      <c r="B27" s="336"/>
      <c r="C27" s="336"/>
      <c r="D27" s="336"/>
      <c r="E27" s="336"/>
      <c r="F27" s="337"/>
      <c r="G27" s="337">
        <f>+F25-317092.62</f>
        <v>0</v>
      </c>
      <c r="H27" s="337">
        <f>+H25-1029.31</f>
        <v>-2.2737367544323206E-12</v>
      </c>
      <c r="I27" s="337"/>
      <c r="J27" s="337">
        <f>+J25-521.62</f>
        <v>2.6147972675971687E-12</v>
      </c>
      <c r="K27" s="337"/>
      <c r="L27" s="337">
        <f>+L25-616.63</f>
        <v>4.6611603465862572E-12</v>
      </c>
      <c r="M27" s="337">
        <f>+M25-539.43</f>
        <v>0</v>
      </c>
      <c r="N27" s="337"/>
      <c r="O27" s="336"/>
      <c r="P27" s="336"/>
      <c r="Q27" s="336"/>
      <c r="R27" s="245"/>
      <c r="S27" s="241"/>
      <c r="T27" s="241"/>
      <c r="U27" s="241"/>
      <c r="V27" s="241"/>
    </row>
    <row r="28" spans="1:25" s="248" customFormat="1" ht="56.25" customHeight="1" x14ac:dyDescent="0.85">
      <c r="A28" s="241"/>
      <c r="B28" s="241"/>
      <c r="C28" s="241"/>
      <c r="D28" s="241"/>
      <c r="E28" s="241"/>
      <c r="F28" s="241"/>
      <c r="G28" s="241"/>
      <c r="H28" s="245"/>
      <c r="I28" s="241"/>
      <c r="J28" s="245"/>
      <c r="K28" s="245"/>
      <c r="L28" s="245"/>
      <c r="M28" s="245"/>
      <c r="N28" s="241"/>
      <c r="R28" s="245"/>
      <c r="S28" s="241"/>
      <c r="T28" s="241"/>
      <c r="U28" s="241"/>
      <c r="V28" s="241"/>
    </row>
    <row r="29" spans="1:25" s="248" customFormat="1" ht="56.25" customHeight="1" x14ac:dyDescent="0.85">
      <c r="A29" s="241"/>
      <c r="B29" s="241"/>
      <c r="C29" s="241"/>
      <c r="D29" s="241"/>
      <c r="E29" s="241"/>
      <c r="F29" s="241"/>
      <c r="G29" s="245"/>
      <c r="H29" s="241"/>
      <c r="I29" s="241"/>
      <c r="J29" s="241"/>
      <c r="K29" s="245"/>
      <c r="L29" s="241"/>
      <c r="M29" s="241"/>
      <c r="N29" s="241"/>
      <c r="R29" s="245"/>
      <c r="S29" s="241"/>
      <c r="T29" s="241"/>
      <c r="U29" s="241"/>
      <c r="V29" s="241"/>
    </row>
    <row r="30" spans="1:25" ht="46.5" customHeight="1" x14ac:dyDescent="0.85">
      <c r="K30" s="245"/>
      <c r="O30" s="248"/>
      <c r="P30" s="248"/>
      <c r="Q30" s="248"/>
      <c r="R30" s="245"/>
    </row>
    <row r="31" spans="1:25" x14ac:dyDescent="0.8">
      <c r="K31" s="245"/>
      <c r="R31" s="245"/>
    </row>
    <row r="32" spans="1:25" x14ac:dyDescent="0.8">
      <c r="K32" s="245"/>
    </row>
    <row r="33" spans="11:11" x14ac:dyDescent="0.8">
      <c r="K33" s="245"/>
    </row>
  </sheetData>
  <mergeCells count="14">
    <mergeCell ref="F25:G25"/>
    <mergeCell ref="A1:Q1"/>
    <mergeCell ref="L3:Q3"/>
    <mergeCell ref="F17:Q17"/>
    <mergeCell ref="F18:G18"/>
    <mergeCell ref="N18:P18"/>
    <mergeCell ref="Q18:Q19"/>
    <mergeCell ref="F19:G19"/>
    <mergeCell ref="N19:P19"/>
    <mergeCell ref="F20:G20"/>
    <mergeCell ref="F21:G21"/>
    <mergeCell ref="F22:G22"/>
    <mergeCell ref="F23:G23"/>
    <mergeCell ref="F24:G24"/>
  </mergeCells>
  <pageMargins left="0.19685039370078741" right="0.11811023622047245" top="0.23622047244094491" bottom="0.11811023622047245" header="0.19685039370078741" footer="0.11811023622047245"/>
  <pageSetup paperSize="5" scale="43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7200-BF38-4460-AEC5-179BC05F844B}">
  <dimension ref="A1:Z64"/>
  <sheetViews>
    <sheetView view="pageBreakPreview" zoomScale="20" zoomScaleNormal="20" zoomScaleSheetLayoutView="20" workbookViewId="0">
      <pane xSplit="2" ySplit="5" topLeftCell="C21" activePane="bottomRight" state="frozen"/>
      <selection pane="topRight" activeCell="C1" sqref="C1"/>
      <selection pane="bottomLeft" activeCell="A7" sqref="A7"/>
      <selection pane="bottomRight" activeCell="I65" sqref="I65"/>
    </sheetView>
  </sheetViews>
  <sheetFormatPr defaultColWidth="8.75" defaultRowHeight="102" x14ac:dyDescent="2"/>
  <cols>
    <col min="1" max="1" width="9.125" style="75" bestFit="1" customWidth="1"/>
    <col min="2" max="2" width="143.875" style="75" customWidth="1"/>
    <col min="3" max="3" width="46" style="80" customWidth="1"/>
    <col min="4" max="4" width="50.625" style="80" customWidth="1"/>
    <col min="5" max="5" width="45.75" style="77" bestFit="1" customWidth="1"/>
    <col min="6" max="6" width="39.375" style="77" hidden="1" customWidth="1"/>
    <col min="7" max="7" width="47" style="77" customWidth="1"/>
    <col min="8" max="8" width="52.25" style="77" customWidth="1"/>
    <col min="9" max="9" width="48.5" style="77" customWidth="1"/>
    <col min="10" max="10" width="43" style="77" customWidth="1"/>
    <col min="11" max="11" width="52" style="77" customWidth="1"/>
    <col min="12" max="12" width="58.75" style="77" customWidth="1"/>
    <col min="13" max="13" width="65.75" style="77" customWidth="1"/>
    <col min="14" max="14" width="60.5" style="77" customWidth="1"/>
    <col min="15" max="15" width="72" style="77" customWidth="1"/>
    <col min="16" max="16" width="61.75" style="77" customWidth="1"/>
    <col min="17" max="17" width="71.75" style="77" bestFit="1" customWidth="1"/>
    <col min="18" max="18" width="64.75" style="77" customWidth="1"/>
    <col min="19" max="19" width="65" style="77" customWidth="1"/>
    <col min="20" max="20" width="47.125" style="75" bestFit="1" customWidth="1"/>
    <col min="21" max="21" width="30.75" style="75" bestFit="1" customWidth="1"/>
    <col min="22" max="22" width="43.125" style="167" customWidth="1"/>
    <col min="23" max="16384" width="8.75" style="75"/>
  </cols>
  <sheetData>
    <row r="1" spans="1:22" ht="85.5" customHeight="1" x14ac:dyDescent="2">
      <c r="A1" s="462" t="s">
        <v>238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192"/>
      <c r="R1" s="192"/>
      <c r="S1" s="192"/>
      <c r="T1" s="192"/>
    </row>
    <row r="2" spans="1:22" s="184" customFormat="1" ht="78" customHeight="1" x14ac:dyDescent="0.2">
      <c r="A2" s="463" t="s">
        <v>415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202"/>
      <c r="R2" s="202"/>
      <c r="S2" s="202"/>
      <c r="T2" s="202"/>
      <c r="V2" s="185"/>
    </row>
    <row r="3" spans="1:22" ht="18" customHeight="1" x14ac:dyDescent="2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</row>
    <row r="4" spans="1:22" s="199" customFormat="1" ht="89.25" customHeight="1" x14ac:dyDescent="1.45">
      <c r="A4" s="464" t="s">
        <v>0</v>
      </c>
      <c r="B4" s="466" t="s">
        <v>239</v>
      </c>
      <c r="C4" s="468" t="s">
        <v>9</v>
      </c>
      <c r="D4" s="374"/>
      <c r="E4" s="470" t="s">
        <v>316</v>
      </c>
      <c r="F4" s="471"/>
      <c r="G4" s="471"/>
      <c r="H4" s="471"/>
      <c r="I4" s="471"/>
      <c r="J4" s="471"/>
      <c r="K4" s="472"/>
      <c r="L4" s="260" t="s">
        <v>240</v>
      </c>
      <c r="M4" s="261" t="s">
        <v>241</v>
      </c>
      <c r="N4" s="260" t="s">
        <v>295</v>
      </c>
      <c r="O4" s="262" t="s">
        <v>301</v>
      </c>
      <c r="P4" s="262" t="s">
        <v>303</v>
      </c>
    </row>
    <row r="5" spans="1:22" s="199" customFormat="1" ht="78.75" x14ac:dyDescent="1.45">
      <c r="A5" s="465"/>
      <c r="B5" s="467"/>
      <c r="C5" s="469"/>
      <c r="D5" s="375"/>
      <c r="E5" s="333" t="s">
        <v>8</v>
      </c>
      <c r="F5" s="201" t="s">
        <v>324</v>
      </c>
      <c r="G5" s="209" t="s">
        <v>330</v>
      </c>
      <c r="H5" s="208" t="s">
        <v>285</v>
      </c>
      <c r="I5" s="204" t="s">
        <v>422</v>
      </c>
      <c r="J5" s="204" t="s">
        <v>423</v>
      </c>
      <c r="K5" s="333" t="s">
        <v>323</v>
      </c>
      <c r="L5" s="263" t="s">
        <v>325</v>
      </c>
      <c r="M5" s="264" t="s">
        <v>242</v>
      </c>
      <c r="N5" s="263" t="s">
        <v>243</v>
      </c>
      <c r="O5" s="265" t="s">
        <v>312</v>
      </c>
      <c r="P5" s="265" t="s">
        <v>313</v>
      </c>
    </row>
    <row r="6" spans="1:22" s="188" customFormat="1" ht="98.25" customHeight="1" x14ac:dyDescent="1.85">
      <c r="A6" s="210">
        <v>1</v>
      </c>
      <c r="B6" s="342" t="s">
        <v>361</v>
      </c>
      <c r="C6" s="211" t="s">
        <v>244</v>
      </c>
      <c r="D6" s="212"/>
      <c r="E6" s="277">
        <v>6500</v>
      </c>
      <c r="F6" s="277"/>
      <c r="G6" s="277"/>
      <c r="H6" s="277"/>
      <c r="I6" s="277"/>
      <c r="J6" s="277">
        <v>-6500</v>
      </c>
      <c r="K6" s="279"/>
      <c r="L6" s="278"/>
      <c r="M6" s="366" t="s">
        <v>395</v>
      </c>
      <c r="N6" s="278"/>
      <c r="O6" s="278"/>
      <c r="P6" s="278"/>
    </row>
    <row r="7" spans="1:22" s="188" customFormat="1" ht="98.25" customHeight="1" x14ac:dyDescent="1.85">
      <c r="A7" s="213">
        <v>2</v>
      </c>
      <c r="B7" s="214" t="s">
        <v>343</v>
      </c>
      <c r="C7" s="215" t="s">
        <v>245</v>
      </c>
      <c r="D7" s="216"/>
      <c r="E7" s="277">
        <v>46200</v>
      </c>
      <c r="F7" s="277"/>
      <c r="G7" s="277"/>
      <c r="H7" s="277"/>
      <c r="I7" s="277"/>
      <c r="J7" s="277"/>
      <c r="K7" s="279">
        <f>SUM(E7:J7)</f>
        <v>46200</v>
      </c>
      <c r="L7" s="280"/>
      <c r="M7" s="280"/>
      <c r="N7" s="280">
        <v>46200</v>
      </c>
      <c r="O7" s="280"/>
      <c r="P7" s="280"/>
    </row>
    <row r="8" spans="1:22" s="188" customFormat="1" ht="98.25" customHeight="1" x14ac:dyDescent="1.85">
      <c r="A8" s="213">
        <f>+A7+1</f>
        <v>3</v>
      </c>
      <c r="B8" s="217" t="s">
        <v>290</v>
      </c>
      <c r="C8" s="218" t="s">
        <v>4</v>
      </c>
      <c r="D8" s="219"/>
      <c r="E8" s="277">
        <v>10648</v>
      </c>
      <c r="F8" s="277"/>
      <c r="G8" s="277"/>
      <c r="H8" s="277"/>
      <c r="I8" s="277"/>
      <c r="J8" s="277"/>
      <c r="K8" s="279">
        <f t="shared" ref="K8:K11" si="0">SUM(E8:J8)</f>
        <v>10648</v>
      </c>
      <c r="L8" s="280"/>
      <c r="M8" s="279">
        <f>+K8</f>
        <v>10648</v>
      </c>
      <c r="N8" s="280"/>
      <c r="O8" s="280"/>
      <c r="P8" s="280"/>
    </row>
    <row r="9" spans="1:22" s="188" customFormat="1" ht="98.25" customHeight="1" x14ac:dyDescent="1.85">
      <c r="A9" s="213">
        <f t="shared" ref="A9:A11" si="1">+A8+1</f>
        <v>4</v>
      </c>
      <c r="B9" s="220" t="s">
        <v>3</v>
      </c>
      <c r="C9" s="218" t="s">
        <v>164</v>
      </c>
      <c r="D9" s="219"/>
      <c r="E9" s="277">
        <v>7986</v>
      </c>
      <c r="F9" s="277"/>
      <c r="G9" s="277"/>
      <c r="H9" s="277"/>
      <c r="I9" s="277"/>
      <c r="J9" s="277"/>
      <c r="K9" s="279">
        <f t="shared" si="0"/>
        <v>7986</v>
      </c>
      <c r="L9" s="280"/>
      <c r="M9" s="279">
        <f>+K9</f>
        <v>7986</v>
      </c>
      <c r="N9" s="280"/>
      <c r="O9" s="280"/>
      <c r="P9" s="280"/>
    </row>
    <row r="10" spans="1:22" s="188" customFormat="1" ht="98.25" customHeight="1" x14ac:dyDescent="1.85">
      <c r="A10" s="213">
        <f t="shared" si="1"/>
        <v>5</v>
      </c>
      <c r="B10" s="220" t="s">
        <v>10</v>
      </c>
      <c r="C10" s="218" t="s">
        <v>246</v>
      </c>
      <c r="D10" s="219"/>
      <c r="E10" s="277">
        <v>7986</v>
      </c>
      <c r="F10" s="277"/>
      <c r="G10" s="277"/>
      <c r="H10" s="277"/>
      <c r="I10" s="277"/>
      <c r="J10" s="277"/>
      <c r="K10" s="279">
        <f t="shared" si="0"/>
        <v>7986</v>
      </c>
      <c r="L10" s="280"/>
      <c r="M10" s="280">
        <f>+K10</f>
        <v>7986</v>
      </c>
      <c r="N10" s="280"/>
      <c r="O10" s="280"/>
      <c r="P10" s="280"/>
    </row>
    <row r="11" spans="1:22" s="188" customFormat="1" ht="98.25" customHeight="1" x14ac:dyDescent="1.85">
      <c r="A11" s="213">
        <f t="shared" si="1"/>
        <v>6</v>
      </c>
      <c r="B11" s="221" t="s">
        <v>247</v>
      </c>
      <c r="C11" s="222" t="s">
        <v>248</v>
      </c>
      <c r="D11" s="223"/>
      <c r="E11" s="281">
        <v>60000</v>
      </c>
      <c r="F11" s="281"/>
      <c r="G11" s="281"/>
      <c r="H11" s="281"/>
      <c r="I11" s="281"/>
      <c r="J11" s="281"/>
      <c r="K11" s="279">
        <f t="shared" si="0"/>
        <v>60000</v>
      </c>
      <c r="L11" s="282"/>
      <c r="M11" s="282">
        <f>+K11</f>
        <v>60000</v>
      </c>
      <c r="N11" s="282"/>
      <c r="O11" s="282"/>
      <c r="P11" s="282"/>
    </row>
    <row r="12" spans="1:22" s="275" customFormat="1" ht="111.75" customHeight="1" thickBot="1" x14ac:dyDescent="1.95">
      <c r="A12" s="473" t="s">
        <v>249</v>
      </c>
      <c r="B12" s="473"/>
      <c r="C12" s="474"/>
      <c r="D12" s="299"/>
      <c r="E12" s="283">
        <f>SUM(E6:E11)</f>
        <v>139320</v>
      </c>
      <c r="F12" s="283">
        <f t="shared" ref="F12:I12" si="2">SUM(F6:F11)</f>
        <v>0</v>
      </c>
      <c r="G12" s="283">
        <f t="shared" si="2"/>
        <v>0</v>
      </c>
      <c r="H12" s="283">
        <f t="shared" si="2"/>
        <v>0</v>
      </c>
      <c r="I12" s="283">
        <f t="shared" si="2"/>
        <v>0</v>
      </c>
      <c r="J12" s="283">
        <f>SUM(J6:J11)</f>
        <v>-6500</v>
      </c>
      <c r="K12" s="283">
        <f>SUM(K6:K11)</f>
        <v>132820</v>
      </c>
      <c r="L12" s="283">
        <f t="shared" ref="L12:P12" si="3">SUM(L6:L11)</f>
        <v>0</v>
      </c>
      <c r="M12" s="283">
        <f>SUM(M6:M11)</f>
        <v>86620</v>
      </c>
      <c r="N12" s="283">
        <f t="shared" si="3"/>
        <v>46200</v>
      </c>
      <c r="O12" s="283">
        <f t="shared" si="3"/>
        <v>0</v>
      </c>
      <c r="P12" s="283">
        <f t="shared" si="3"/>
        <v>0</v>
      </c>
      <c r="Q12" s="274"/>
      <c r="R12" s="274"/>
    </row>
    <row r="13" spans="1:22" ht="111.75" customHeight="1" x14ac:dyDescent="2">
      <c r="A13" s="224">
        <f>+A11+1</f>
        <v>7</v>
      </c>
      <c r="B13" s="373" t="s">
        <v>424</v>
      </c>
      <c r="C13" s="346" t="s">
        <v>363</v>
      </c>
      <c r="D13" s="347"/>
      <c r="E13" s="276"/>
      <c r="F13" s="276"/>
      <c r="G13" s="276"/>
      <c r="H13" s="276"/>
      <c r="I13" s="276">
        <v>26000</v>
      </c>
      <c r="J13" s="276"/>
      <c r="K13" s="276">
        <f>SUM(E13:J13)</f>
        <v>26000</v>
      </c>
      <c r="L13" s="348"/>
      <c r="M13" s="348"/>
      <c r="N13" s="372">
        <v>26000</v>
      </c>
      <c r="O13" s="348"/>
      <c r="P13" s="348"/>
      <c r="Q13" s="75"/>
      <c r="R13" s="75"/>
      <c r="S13" s="167"/>
      <c r="V13" s="75"/>
    </row>
    <row r="14" spans="1:22" s="192" customFormat="1" ht="117.75" customHeight="1" thickBot="1" x14ac:dyDescent="1.95">
      <c r="A14" s="475" t="s">
        <v>154</v>
      </c>
      <c r="B14" s="475"/>
      <c r="C14" s="476"/>
      <c r="D14" s="193"/>
      <c r="E14" s="298">
        <f>SUM(E13)</f>
        <v>0</v>
      </c>
      <c r="F14" s="298">
        <f>+F13</f>
        <v>0</v>
      </c>
      <c r="G14" s="298">
        <f t="shared" ref="G14" si="4">SUM(G13)</f>
        <v>0</v>
      </c>
      <c r="H14" s="298">
        <f>+H13</f>
        <v>0</v>
      </c>
      <c r="I14" s="298">
        <f>+I13</f>
        <v>26000</v>
      </c>
      <c r="J14" s="298">
        <f t="shared" ref="J14" si="5">SUM(J13)</f>
        <v>0</v>
      </c>
      <c r="K14" s="298">
        <f>SUM(K13)</f>
        <v>26000</v>
      </c>
      <c r="L14" s="298">
        <f t="shared" ref="L14:P14" si="6">SUM(L13)</f>
        <v>0</v>
      </c>
      <c r="M14" s="298">
        <f t="shared" si="6"/>
        <v>0</v>
      </c>
      <c r="N14" s="298">
        <f>SUM(N13)</f>
        <v>26000</v>
      </c>
      <c r="O14" s="298">
        <f t="shared" si="6"/>
        <v>0</v>
      </c>
      <c r="P14" s="298">
        <f t="shared" si="6"/>
        <v>0</v>
      </c>
      <c r="R14" s="191"/>
      <c r="S14" s="194"/>
    </row>
    <row r="15" spans="1:22" ht="95.25" customHeight="1" x14ac:dyDescent="2">
      <c r="A15" s="227">
        <f>+A13+1</f>
        <v>8</v>
      </c>
      <c r="B15" s="228" t="s">
        <v>266</v>
      </c>
      <c r="C15" s="229" t="s">
        <v>250</v>
      </c>
      <c r="D15" s="230"/>
      <c r="E15" s="277">
        <v>2895</v>
      </c>
      <c r="F15" s="284"/>
      <c r="G15" s="285"/>
      <c r="H15" s="286"/>
      <c r="I15" s="341"/>
      <c r="J15" s="277"/>
      <c r="K15" s="277">
        <f>+E15+J15</f>
        <v>2895</v>
      </c>
      <c r="L15" s="280"/>
      <c r="M15" s="280"/>
      <c r="N15" s="280"/>
      <c r="O15" s="280"/>
      <c r="P15" s="280">
        <f t="shared" ref="P15:P30" si="7">+K15</f>
        <v>2895</v>
      </c>
      <c r="Q15" s="75"/>
      <c r="R15" s="75"/>
      <c r="S15" s="168"/>
      <c r="V15" s="75"/>
    </row>
    <row r="16" spans="1:22" ht="95.25" customHeight="1" x14ac:dyDescent="2">
      <c r="A16" s="213">
        <f>+A15+1</f>
        <v>9</v>
      </c>
      <c r="B16" s="231" t="s">
        <v>267</v>
      </c>
      <c r="C16" s="232" t="s">
        <v>250</v>
      </c>
      <c r="D16" s="230"/>
      <c r="E16" s="277">
        <v>1651</v>
      </c>
      <c r="F16" s="277"/>
      <c r="G16" s="277"/>
      <c r="H16" s="277"/>
      <c r="I16" s="277"/>
      <c r="J16" s="277"/>
      <c r="K16" s="277">
        <f>SUM(E16:J16)</f>
        <v>1651</v>
      </c>
      <c r="L16" s="280"/>
      <c r="M16" s="280"/>
      <c r="N16" s="280"/>
      <c r="O16" s="280"/>
      <c r="P16" s="280">
        <f t="shared" si="7"/>
        <v>1651</v>
      </c>
      <c r="Q16" s="75"/>
      <c r="R16" s="75"/>
      <c r="S16" s="168"/>
      <c r="V16" s="75"/>
    </row>
    <row r="17" spans="1:22" ht="95.25" customHeight="1" x14ac:dyDescent="2">
      <c r="A17" s="213">
        <f t="shared" ref="A17:A30" si="8">+A16+1</f>
        <v>10</v>
      </c>
      <c r="B17" s="231" t="s">
        <v>268</v>
      </c>
      <c r="C17" s="232" t="s">
        <v>250</v>
      </c>
      <c r="D17" s="230"/>
      <c r="E17" s="277">
        <v>2267</v>
      </c>
      <c r="F17" s="277"/>
      <c r="G17" s="277"/>
      <c r="H17" s="277"/>
      <c r="I17" s="277"/>
      <c r="J17" s="277"/>
      <c r="K17" s="277">
        <f>+E17</f>
        <v>2267</v>
      </c>
      <c r="L17" s="280"/>
      <c r="M17" s="280"/>
      <c r="N17" s="280"/>
      <c r="O17" s="280"/>
      <c r="P17" s="280">
        <f t="shared" si="7"/>
        <v>2267</v>
      </c>
      <c r="Q17" s="75"/>
      <c r="R17" s="75"/>
      <c r="S17" s="168"/>
      <c r="V17" s="75"/>
    </row>
    <row r="18" spans="1:22" ht="95.25" customHeight="1" x14ac:dyDescent="2">
      <c r="A18" s="213">
        <f t="shared" si="8"/>
        <v>11</v>
      </c>
      <c r="B18" s="231" t="s">
        <v>269</v>
      </c>
      <c r="C18" s="232" t="s">
        <v>250</v>
      </c>
      <c r="D18" s="233"/>
      <c r="E18" s="277">
        <v>6615</v>
      </c>
      <c r="F18" s="277"/>
      <c r="G18" s="277"/>
      <c r="H18" s="277"/>
      <c r="I18" s="277"/>
      <c r="J18" s="277">
        <v>0</v>
      </c>
      <c r="K18" s="277">
        <f>+E18+F18</f>
        <v>6615</v>
      </c>
      <c r="L18" s="280"/>
      <c r="M18" s="280"/>
      <c r="N18" s="280"/>
      <c r="O18" s="280"/>
      <c r="P18" s="280">
        <f t="shared" si="7"/>
        <v>6615</v>
      </c>
      <c r="Q18" s="75"/>
      <c r="R18" s="75"/>
      <c r="S18" s="168"/>
      <c r="V18" s="75"/>
    </row>
    <row r="19" spans="1:22" ht="95.25" customHeight="1" x14ac:dyDescent="2">
      <c r="A19" s="213">
        <f t="shared" si="8"/>
        <v>12</v>
      </c>
      <c r="B19" s="231" t="s">
        <v>270</v>
      </c>
      <c r="C19" s="232" t="s">
        <v>250</v>
      </c>
      <c r="D19" s="230"/>
      <c r="E19" s="277">
        <v>2033</v>
      </c>
      <c r="F19" s="277"/>
      <c r="G19" s="277"/>
      <c r="H19" s="277"/>
      <c r="I19" s="277"/>
      <c r="J19" s="277"/>
      <c r="K19" s="277">
        <f>SUM(E19:J19)</f>
        <v>2033</v>
      </c>
      <c r="L19" s="280"/>
      <c r="M19" s="280"/>
      <c r="N19" s="280"/>
      <c r="O19" s="280"/>
      <c r="P19" s="280">
        <f t="shared" si="7"/>
        <v>2033</v>
      </c>
      <c r="Q19" s="75"/>
      <c r="R19" s="75"/>
      <c r="S19" s="168"/>
      <c r="V19" s="75"/>
    </row>
    <row r="20" spans="1:22" ht="95.25" customHeight="1" x14ac:dyDescent="2">
      <c r="A20" s="213">
        <f t="shared" si="8"/>
        <v>13</v>
      </c>
      <c r="B20" s="231" t="s">
        <v>271</v>
      </c>
      <c r="C20" s="232" t="s">
        <v>250</v>
      </c>
      <c r="D20" s="233"/>
      <c r="E20" s="477" t="s">
        <v>29</v>
      </c>
      <c r="F20" s="478"/>
      <c r="G20" s="478"/>
      <c r="H20" s="478"/>
      <c r="I20" s="478"/>
      <c r="J20" s="478"/>
      <c r="K20" s="479"/>
      <c r="L20" s="280"/>
      <c r="M20" s="280"/>
      <c r="N20" s="280"/>
      <c r="O20" s="280"/>
      <c r="P20" s="280">
        <f t="shared" si="7"/>
        <v>0</v>
      </c>
      <c r="Q20" s="75"/>
      <c r="R20" s="75"/>
      <c r="S20" s="168"/>
      <c r="V20" s="75"/>
    </row>
    <row r="21" spans="1:22" ht="95.25" customHeight="1" x14ac:dyDescent="2">
      <c r="A21" s="213">
        <f t="shared" si="8"/>
        <v>14</v>
      </c>
      <c r="B21" s="231" t="s">
        <v>272</v>
      </c>
      <c r="C21" s="232" t="s">
        <v>250</v>
      </c>
      <c r="D21" s="230"/>
      <c r="E21" s="277">
        <v>1525</v>
      </c>
      <c r="F21" s="277"/>
      <c r="G21" s="277"/>
      <c r="H21" s="277"/>
      <c r="I21" s="277"/>
      <c r="J21" s="277"/>
      <c r="K21" s="277">
        <f>+E21</f>
        <v>1525</v>
      </c>
      <c r="L21" s="280"/>
      <c r="M21" s="280"/>
      <c r="N21" s="280"/>
      <c r="O21" s="280"/>
      <c r="P21" s="280">
        <f t="shared" si="7"/>
        <v>1525</v>
      </c>
      <c r="Q21" s="75"/>
      <c r="R21" s="75"/>
      <c r="S21" s="168"/>
      <c r="V21" s="75"/>
    </row>
    <row r="22" spans="1:22" ht="95.25" customHeight="1" x14ac:dyDescent="2">
      <c r="A22" s="213">
        <f t="shared" si="8"/>
        <v>15</v>
      </c>
      <c r="B22" s="231" t="s">
        <v>273</v>
      </c>
      <c r="C22" s="232" t="s">
        <v>250</v>
      </c>
      <c r="D22" s="230"/>
      <c r="E22" s="277">
        <v>1619</v>
      </c>
      <c r="F22" s="277"/>
      <c r="G22" s="277"/>
      <c r="H22" s="277"/>
      <c r="I22" s="277"/>
      <c r="J22" s="277"/>
      <c r="K22" s="277">
        <f>+E22</f>
        <v>1619</v>
      </c>
      <c r="L22" s="280"/>
      <c r="M22" s="280"/>
      <c r="N22" s="280"/>
      <c r="O22" s="280"/>
      <c r="P22" s="280">
        <f t="shared" si="7"/>
        <v>1619</v>
      </c>
      <c r="Q22" s="75"/>
      <c r="R22" s="75"/>
      <c r="S22" s="168"/>
      <c r="V22" s="75"/>
    </row>
    <row r="23" spans="1:22" ht="95.25" customHeight="1" x14ac:dyDescent="2">
      <c r="A23" s="213">
        <f t="shared" si="8"/>
        <v>16</v>
      </c>
      <c r="B23" s="231" t="s">
        <v>274</v>
      </c>
      <c r="C23" s="232" t="s">
        <v>250</v>
      </c>
      <c r="D23" s="230"/>
      <c r="E23" s="277">
        <v>3900</v>
      </c>
      <c r="F23" s="277"/>
      <c r="G23" s="277"/>
      <c r="H23" s="277"/>
      <c r="I23" s="277"/>
      <c r="J23" s="277"/>
      <c r="K23" s="277">
        <f>+E23+I23</f>
        <v>3900</v>
      </c>
      <c r="L23" s="280"/>
      <c r="M23" s="280"/>
      <c r="N23" s="280"/>
      <c r="O23" s="280"/>
      <c r="P23" s="280">
        <f t="shared" si="7"/>
        <v>3900</v>
      </c>
      <c r="Q23" s="75"/>
      <c r="R23" s="75"/>
      <c r="S23" s="168"/>
      <c r="V23" s="75"/>
    </row>
    <row r="24" spans="1:22" ht="95.25" customHeight="1" x14ac:dyDescent="2">
      <c r="A24" s="213">
        <f t="shared" si="8"/>
        <v>17</v>
      </c>
      <c r="B24" s="231" t="s">
        <v>284</v>
      </c>
      <c r="C24" s="232" t="s">
        <v>250</v>
      </c>
      <c r="D24" s="233"/>
      <c r="E24" s="277">
        <v>1977</v>
      </c>
      <c r="F24" s="277"/>
      <c r="G24" s="277"/>
      <c r="H24" s="277"/>
      <c r="I24" s="277"/>
      <c r="J24" s="277"/>
      <c r="K24" s="277">
        <f t="shared" ref="K24:K30" si="9">+E24</f>
        <v>1977</v>
      </c>
      <c r="L24" s="280"/>
      <c r="M24" s="280"/>
      <c r="N24" s="280"/>
      <c r="O24" s="280"/>
      <c r="P24" s="280">
        <f t="shared" si="7"/>
        <v>1977</v>
      </c>
      <c r="Q24" s="75"/>
      <c r="R24" s="75"/>
      <c r="S24" s="168"/>
      <c r="V24" s="75"/>
    </row>
    <row r="25" spans="1:22" ht="95.25" customHeight="1" x14ac:dyDescent="2">
      <c r="A25" s="213">
        <f t="shared" si="8"/>
        <v>18</v>
      </c>
      <c r="B25" s="231" t="s">
        <v>282</v>
      </c>
      <c r="C25" s="232" t="s">
        <v>250</v>
      </c>
      <c r="D25" s="233"/>
      <c r="E25" s="277">
        <v>1673</v>
      </c>
      <c r="F25" s="277"/>
      <c r="G25" s="277"/>
      <c r="H25" s="277"/>
      <c r="I25" s="277"/>
      <c r="J25" s="277"/>
      <c r="K25" s="277">
        <f t="shared" si="9"/>
        <v>1673</v>
      </c>
      <c r="L25" s="280"/>
      <c r="M25" s="280"/>
      <c r="N25" s="280"/>
      <c r="O25" s="280"/>
      <c r="P25" s="280">
        <f t="shared" si="7"/>
        <v>1673</v>
      </c>
      <c r="Q25" s="75"/>
      <c r="R25" s="75"/>
      <c r="S25" s="168"/>
      <c r="V25" s="75"/>
    </row>
    <row r="26" spans="1:22" ht="95.25" customHeight="1" x14ac:dyDescent="2">
      <c r="A26" s="213">
        <f t="shared" si="8"/>
        <v>19</v>
      </c>
      <c r="B26" s="231" t="s">
        <v>275</v>
      </c>
      <c r="C26" s="232" t="s">
        <v>250</v>
      </c>
      <c r="D26" s="230"/>
      <c r="E26" s="277">
        <v>2045</v>
      </c>
      <c r="F26" s="277"/>
      <c r="G26" s="277"/>
      <c r="H26" s="277"/>
      <c r="I26" s="277"/>
      <c r="J26" s="277"/>
      <c r="K26" s="277">
        <f t="shared" si="9"/>
        <v>2045</v>
      </c>
      <c r="L26" s="280"/>
      <c r="M26" s="280"/>
      <c r="N26" s="280"/>
      <c r="O26" s="280"/>
      <c r="P26" s="280">
        <f t="shared" si="7"/>
        <v>2045</v>
      </c>
      <c r="Q26" s="75"/>
      <c r="R26" s="75"/>
      <c r="S26" s="168"/>
      <c r="V26" s="75"/>
    </row>
    <row r="27" spans="1:22" ht="95.25" customHeight="1" x14ac:dyDescent="2">
      <c r="A27" s="213">
        <f t="shared" si="8"/>
        <v>20</v>
      </c>
      <c r="B27" s="231" t="s">
        <v>265</v>
      </c>
      <c r="C27" s="232" t="s">
        <v>250</v>
      </c>
      <c r="D27" s="230"/>
      <c r="E27" s="277">
        <v>2613</v>
      </c>
      <c r="F27" s="277"/>
      <c r="G27" s="277"/>
      <c r="H27" s="277"/>
      <c r="I27" s="277"/>
      <c r="J27" s="277"/>
      <c r="K27" s="277">
        <f t="shared" si="9"/>
        <v>2613</v>
      </c>
      <c r="L27" s="280"/>
      <c r="M27" s="280"/>
      <c r="N27" s="280"/>
      <c r="O27" s="280"/>
      <c r="P27" s="280">
        <f t="shared" si="7"/>
        <v>2613</v>
      </c>
      <c r="Q27" s="75"/>
      <c r="R27" s="75"/>
      <c r="S27" s="168"/>
      <c r="V27" s="75"/>
    </row>
    <row r="28" spans="1:22" ht="95.25" customHeight="1" x14ac:dyDescent="2">
      <c r="A28" s="213">
        <f t="shared" si="8"/>
        <v>21</v>
      </c>
      <c r="B28" s="231" t="s">
        <v>262</v>
      </c>
      <c r="C28" s="232" t="s">
        <v>250</v>
      </c>
      <c r="D28" s="233"/>
      <c r="E28" s="287">
        <v>1599</v>
      </c>
      <c r="F28" s="277"/>
      <c r="G28" s="277"/>
      <c r="H28" s="277"/>
      <c r="I28" s="277"/>
      <c r="J28" s="277"/>
      <c r="K28" s="277">
        <f t="shared" si="9"/>
        <v>1599</v>
      </c>
      <c r="L28" s="280"/>
      <c r="M28" s="280"/>
      <c r="N28" s="280"/>
      <c r="O28" s="280"/>
      <c r="P28" s="280">
        <f t="shared" si="7"/>
        <v>1599</v>
      </c>
      <c r="Q28" s="75"/>
      <c r="R28" s="75"/>
      <c r="S28" s="168"/>
      <c r="V28" s="75"/>
    </row>
    <row r="29" spans="1:22" ht="95.25" customHeight="1" x14ac:dyDescent="2">
      <c r="A29" s="213">
        <f t="shared" si="8"/>
        <v>22</v>
      </c>
      <c r="B29" s="231" t="s">
        <v>261</v>
      </c>
      <c r="C29" s="232" t="s">
        <v>250</v>
      </c>
      <c r="D29" s="230"/>
      <c r="E29" s="277">
        <v>2065</v>
      </c>
      <c r="F29" s="277"/>
      <c r="G29" s="277"/>
      <c r="H29" s="277"/>
      <c r="I29" s="277"/>
      <c r="J29" s="277"/>
      <c r="K29" s="277">
        <f>+J29+E29</f>
        <v>2065</v>
      </c>
      <c r="L29" s="280"/>
      <c r="M29" s="280"/>
      <c r="N29" s="280"/>
      <c r="O29" s="280"/>
      <c r="P29" s="280">
        <f t="shared" si="7"/>
        <v>2065</v>
      </c>
      <c r="Q29" s="75"/>
      <c r="R29" s="75"/>
      <c r="S29" s="168"/>
      <c r="V29" s="75"/>
    </row>
    <row r="30" spans="1:22" ht="95.25" customHeight="1" x14ac:dyDescent="2">
      <c r="A30" s="352">
        <f t="shared" si="8"/>
        <v>23</v>
      </c>
      <c r="B30" s="353" t="s">
        <v>260</v>
      </c>
      <c r="C30" s="354" t="s">
        <v>250</v>
      </c>
      <c r="D30" s="355"/>
      <c r="E30" s="356">
        <v>1811</v>
      </c>
      <c r="F30" s="356"/>
      <c r="G30" s="356"/>
      <c r="H30" s="356"/>
      <c r="I30" s="356"/>
      <c r="J30" s="356"/>
      <c r="K30" s="356">
        <f t="shared" si="9"/>
        <v>1811</v>
      </c>
      <c r="L30" s="357"/>
      <c r="M30" s="357"/>
      <c r="N30" s="357"/>
      <c r="O30" s="357"/>
      <c r="P30" s="357">
        <f t="shared" si="7"/>
        <v>1811</v>
      </c>
      <c r="Q30" s="75"/>
      <c r="R30" s="75"/>
      <c r="S30" s="167"/>
      <c r="V30" s="75"/>
    </row>
    <row r="31" spans="1:22" s="275" customFormat="1" ht="112.5" customHeight="1" thickBot="1" x14ac:dyDescent="1.95">
      <c r="A31" s="480" t="s">
        <v>259</v>
      </c>
      <c r="B31" s="480"/>
      <c r="C31" s="481"/>
      <c r="D31" s="300"/>
      <c r="E31" s="288">
        <f>SUM(E15:E30)</f>
        <v>36288</v>
      </c>
      <c r="F31" s="288">
        <f>SUM(F15:F30)</f>
        <v>0</v>
      </c>
      <c r="G31" s="288">
        <f t="shared" ref="G31" si="10">SUM(G15:G30)</f>
        <v>0</v>
      </c>
      <c r="H31" s="288">
        <f>SUM(H15:H30)</f>
        <v>0</v>
      </c>
      <c r="I31" s="288"/>
      <c r="J31" s="288">
        <f>SUM(J15:J30)</f>
        <v>0</v>
      </c>
      <c r="K31" s="288">
        <f>SUM(K15:K30)</f>
        <v>36288</v>
      </c>
      <c r="L31" s="288">
        <f t="shared" ref="L31:M31" si="11">SUM(L15:L30)</f>
        <v>0</v>
      </c>
      <c r="M31" s="288">
        <f t="shared" si="11"/>
        <v>0</v>
      </c>
      <c r="N31" s="288">
        <f>SUM(N15:N30)</f>
        <v>0</v>
      </c>
      <c r="O31" s="288">
        <f t="shared" ref="O31" si="12">SUM(O15:O30)</f>
        <v>0</v>
      </c>
      <c r="P31" s="288">
        <f>SUM(P15:P30)</f>
        <v>36288</v>
      </c>
      <c r="Q31" s="274"/>
      <c r="R31" s="274"/>
    </row>
    <row r="32" spans="1:22" ht="110.25" customHeight="1" x14ac:dyDescent="2">
      <c r="A32" s="234">
        <f>+A30+1</f>
        <v>24</v>
      </c>
      <c r="B32" s="235" t="s">
        <v>251</v>
      </c>
      <c r="C32" s="236" t="s">
        <v>252</v>
      </c>
      <c r="D32" s="226"/>
      <c r="E32" s="276">
        <v>27000</v>
      </c>
      <c r="F32" s="276"/>
      <c r="G32" s="276"/>
      <c r="H32" s="276"/>
      <c r="I32" s="276"/>
      <c r="J32" s="276"/>
      <c r="K32" s="276">
        <f>SUM(E32:J32)</f>
        <v>27000</v>
      </c>
      <c r="L32" s="289">
        <v>27000</v>
      </c>
      <c r="M32" s="290"/>
      <c r="N32" s="290"/>
      <c r="O32" s="290"/>
      <c r="P32" s="290"/>
      <c r="Q32" s="75"/>
      <c r="R32" s="75"/>
      <c r="S32" s="167"/>
      <c r="V32" s="75"/>
    </row>
    <row r="33" spans="1:22" ht="110.25" customHeight="1" x14ac:dyDescent="2">
      <c r="A33" s="237">
        <f>+A32+1</f>
        <v>25</v>
      </c>
      <c r="B33" s="334" t="s">
        <v>353</v>
      </c>
      <c r="C33" s="225" t="s">
        <v>279</v>
      </c>
      <c r="D33" s="226"/>
      <c r="E33" s="289">
        <v>40000</v>
      </c>
      <c r="F33" s="276"/>
      <c r="G33" s="291"/>
      <c r="H33" s="276">
        <v>-40000</v>
      </c>
      <c r="I33" s="276"/>
      <c r="J33" s="276"/>
      <c r="K33" s="276">
        <f t="shared" ref="K33:K46" si="13">SUM(E33:J33)</f>
        <v>0</v>
      </c>
      <c r="L33" s="290"/>
      <c r="M33" s="292" t="s">
        <v>285</v>
      </c>
      <c r="N33" s="290"/>
      <c r="O33" s="280"/>
      <c r="P33" s="280"/>
      <c r="Q33" s="75"/>
      <c r="R33" s="81"/>
      <c r="S33" s="167"/>
      <c r="V33" s="75"/>
    </row>
    <row r="34" spans="1:22" ht="110.25" customHeight="1" x14ac:dyDescent="2">
      <c r="A34" s="237">
        <f t="shared" ref="A34:A46" si="14">+A33+1</f>
        <v>26</v>
      </c>
      <c r="B34" s="238" t="s">
        <v>293</v>
      </c>
      <c r="C34" s="218" t="s">
        <v>294</v>
      </c>
      <c r="D34" s="219"/>
      <c r="E34" s="279"/>
      <c r="F34" s="277"/>
      <c r="G34" s="277"/>
      <c r="H34" s="276"/>
      <c r="I34" s="276"/>
      <c r="J34" s="277"/>
      <c r="K34" s="276">
        <f t="shared" si="13"/>
        <v>0</v>
      </c>
      <c r="L34" s="280"/>
      <c r="M34" s="280"/>
      <c r="N34" s="280"/>
      <c r="O34" s="293"/>
      <c r="P34" s="293"/>
      <c r="Q34" s="75"/>
      <c r="R34" s="75"/>
      <c r="S34" s="167"/>
      <c r="V34" s="75"/>
    </row>
    <row r="35" spans="1:22" ht="110.25" customHeight="1" x14ac:dyDescent="2">
      <c r="A35" s="237">
        <f t="shared" si="14"/>
        <v>27</v>
      </c>
      <c r="B35" s="220" t="s">
        <v>332</v>
      </c>
      <c r="C35" s="218" t="s">
        <v>253</v>
      </c>
      <c r="D35" s="219"/>
      <c r="E35" s="279">
        <v>18150</v>
      </c>
      <c r="F35" s="277"/>
      <c r="G35" s="277"/>
      <c r="H35" s="276"/>
      <c r="I35" s="276"/>
      <c r="J35" s="277"/>
      <c r="K35" s="276">
        <f t="shared" si="13"/>
        <v>18150</v>
      </c>
      <c r="L35" s="280"/>
      <c r="M35" s="280"/>
      <c r="N35" s="280"/>
      <c r="O35" s="293">
        <f>+K35</f>
        <v>18150</v>
      </c>
      <c r="P35" s="293"/>
      <c r="Q35" s="75"/>
      <c r="R35" s="75"/>
      <c r="S35" s="167"/>
      <c r="V35" s="75"/>
    </row>
    <row r="36" spans="1:22" ht="110.25" customHeight="1" x14ac:dyDescent="2">
      <c r="A36" s="237">
        <f t="shared" si="14"/>
        <v>28</v>
      </c>
      <c r="B36" s="220" t="s">
        <v>254</v>
      </c>
      <c r="C36" s="218" t="s">
        <v>263</v>
      </c>
      <c r="D36" s="219"/>
      <c r="E36" s="293">
        <v>5324</v>
      </c>
      <c r="F36" s="280"/>
      <c r="G36" s="280"/>
      <c r="H36" s="290"/>
      <c r="I36" s="290"/>
      <c r="J36" s="280"/>
      <c r="K36" s="276">
        <f t="shared" si="13"/>
        <v>5324</v>
      </c>
      <c r="L36" s="280"/>
      <c r="M36" s="280"/>
      <c r="N36" s="280"/>
      <c r="O36" s="293">
        <f>+K36</f>
        <v>5324</v>
      </c>
      <c r="P36" s="293"/>
      <c r="Q36" s="75"/>
      <c r="R36" s="75"/>
      <c r="S36" s="167"/>
      <c r="V36" s="75"/>
    </row>
    <row r="37" spans="1:22" ht="110.25" customHeight="1" x14ac:dyDescent="2">
      <c r="A37" s="237">
        <f t="shared" si="14"/>
        <v>29</v>
      </c>
      <c r="B37" s="220" t="s">
        <v>6</v>
      </c>
      <c r="C37" s="218" t="s">
        <v>264</v>
      </c>
      <c r="D37" s="219"/>
      <c r="E37" s="293">
        <v>5324</v>
      </c>
      <c r="F37" s="280"/>
      <c r="G37" s="280"/>
      <c r="H37" s="290"/>
      <c r="I37" s="290"/>
      <c r="J37" s="280"/>
      <c r="K37" s="276">
        <f t="shared" si="13"/>
        <v>5324</v>
      </c>
      <c r="L37" s="280"/>
      <c r="M37" s="280"/>
      <c r="N37" s="280"/>
      <c r="O37" s="293">
        <f>+K37</f>
        <v>5324</v>
      </c>
      <c r="P37" s="293"/>
      <c r="Q37" s="75"/>
      <c r="R37" s="75"/>
      <c r="S37" s="167"/>
      <c r="V37" s="75"/>
    </row>
    <row r="38" spans="1:22" ht="110.25" customHeight="1" x14ac:dyDescent="2">
      <c r="A38" s="237">
        <f t="shared" si="14"/>
        <v>30</v>
      </c>
      <c r="B38" s="220" t="s">
        <v>333</v>
      </c>
      <c r="C38" s="218" t="s">
        <v>132</v>
      </c>
      <c r="D38" s="239"/>
      <c r="E38" s="294">
        <v>3800</v>
      </c>
      <c r="F38" s="294"/>
      <c r="G38" s="294"/>
      <c r="H38" s="295"/>
      <c r="I38" s="295"/>
      <c r="J38" s="294"/>
      <c r="K38" s="276">
        <f t="shared" si="13"/>
        <v>3800</v>
      </c>
      <c r="L38" s="294"/>
      <c r="M38" s="294"/>
      <c r="N38" s="294"/>
      <c r="O38" s="293">
        <v>3800</v>
      </c>
      <c r="P38" s="293"/>
      <c r="Q38" s="75"/>
      <c r="R38" s="75"/>
      <c r="S38" s="167"/>
      <c r="V38" s="75"/>
    </row>
    <row r="39" spans="1:22" ht="110.25" customHeight="1" x14ac:dyDescent="2">
      <c r="A39" s="237">
        <f t="shared" si="14"/>
        <v>31</v>
      </c>
      <c r="B39" s="220" t="s">
        <v>334</v>
      </c>
      <c r="C39" s="218" t="s">
        <v>132</v>
      </c>
      <c r="D39" s="239"/>
      <c r="E39" s="294">
        <v>7380</v>
      </c>
      <c r="F39" s="294"/>
      <c r="G39" s="294"/>
      <c r="H39" s="295"/>
      <c r="I39" s="295"/>
      <c r="J39" s="294"/>
      <c r="K39" s="276">
        <f t="shared" si="13"/>
        <v>7380</v>
      </c>
      <c r="L39" s="294"/>
      <c r="M39" s="294"/>
      <c r="N39" s="294"/>
      <c r="O39" s="279">
        <f>+K39</f>
        <v>7380</v>
      </c>
      <c r="P39" s="293"/>
      <c r="Q39" s="75"/>
      <c r="R39" s="75"/>
      <c r="S39" s="167"/>
      <c r="V39" s="75"/>
    </row>
    <row r="40" spans="1:22" ht="110.25" customHeight="1" x14ac:dyDescent="2">
      <c r="A40" s="237">
        <f t="shared" si="14"/>
        <v>32</v>
      </c>
      <c r="B40" s="220" t="s">
        <v>335</v>
      </c>
      <c r="C40" s="218" t="s">
        <v>132</v>
      </c>
      <c r="D40" s="239"/>
      <c r="E40" s="294">
        <v>5360</v>
      </c>
      <c r="F40" s="294"/>
      <c r="G40" s="294">
        <v>4888</v>
      </c>
      <c r="H40" s="295"/>
      <c r="I40" s="295"/>
      <c r="J40" s="371">
        <v>-5360</v>
      </c>
      <c r="K40" s="276">
        <f>+E40+G40+J40</f>
        <v>4888</v>
      </c>
      <c r="L40" s="294"/>
      <c r="M40" s="294"/>
      <c r="N40" s="294"/>
      <c r="O40" s="279">
        <f>+K40</f>
        <v>4888</v>
      </c>
      <c r="P40" s="293"/>
      <c r="Q40" s="75"/>
      <c r="R40" s="75"/>
      <c r="S40" s="167"/>
      <c r="V40" s="75"/>
    </row>
    <row r="41" spans="1:22" ht="110.25" customHeight="1" x14ac:dyDescent="2">
      <c r="A41" s="237">
        <f t="shared" si="14"/>
        <v>33</v>
      </c>
      <c r="B41" s="220" t="s">
        <v>336</v>
      </c>
      <c r="C41" s="218" t="s">
        <v>132</v>
      </c>
      <c r="D41" s="239"/>
      <c r="E41" s="294">
        <v>7728</v>
      </c>
      <c r="F41" s="294"/>
      <c r="G41" s="294"/>
      <c r="H41" s="295"/>
      <c r="I41" s="295"/>
      <c r="J41" s="294"/>
      <c r="K41" s="276">
        <f t="shared" si="13"/>
        <v>7728</v>
      </c>
      <c r="L41" s="294"/>
      <c r="M41" s="294"/>
      <c r="N41" s="294"/>
      <c r="O41" s="279">
        <f t="shared" ref="O41" si="15">+K41</f>
        <v>7728</v>
      </c>
      <c r="P41" s="293"/>
      <c r="Q41" s="75"/>
      <c r="R41" s="75"/>
      <c r="S41" s="167"/>
      <c r="V41" s="75"/>
    </row>
    <row r="42" spans="1:22" ht="110.25" customHeight="1" x14ac:dyDescent="2">
      <c r="A42" s="237">
        <f t="shared" si="14"/>
        <v>34</v>
      </c>
      <c r="B42" s="220" t="s">
        <v>421</v>
      </c>
      <c r="C42" s="218" t="s">
        <v>132</v>
      </c>
      <c r="D42" s="239"/>
      <c r="E42" s="294"/>
      <c r="F42" s="294"/>
      <c r="G42" s="294"/>
      <c r="H42" s="295"/>
      <c r="I42" s="295">
        <v>50000</v>
      </c>
      <c r="J42" s="294"/>
      <c r="K42" s="276">
        <f t="shared" si="13"/>
        <v>50000</v>
      </c>
      <c r="L42" s="294"/>
      <c r="M42" s="294"/>
      <c r="N42" s="294"/>
      <c r="O42" s="279">
        <f>+K42</f>
        <v>50000</v>
      </c>
      <c r="P42" s="293"/>
      <c r="Q42" s="75"/>
      <c r="R42" s="75"/>
      <c r="S42" s="167"/>
      <c r="V42" s="75"/>
    </row>
    <row r="43" spans="1:22" ht="110.25" customHeight="1" x14ac:dyDescent="2">
      <c r="A43" s="237">
        <f t="shared" si="14"/>
        <v>35</v>
      </c>
      <c r="B43" s="220" t="s">
        <v>150</v>
      </c>
      <c r="C43" s="218" t="s">
        <v>89</v>
      </c>
      <c r="D43" s="239"/>
      <c r="E43" s="294">
        <v>6000</v>
      </c>
      <c r="F43" s="294"/>
      <c r="G43" s="294"/>
      <c r="H43" s="276">
        <v>-6000</v>
      </c>
      <c r="I43" s="295"/>
      <c r="J43" s="294"/>
      <c r="K43" s="276">
        <f t="shared" si="13"/>
        <v>0</v>
      </c>
      <c r="L43" s="294"/>
      <c r="M43" s="294"/>
      <c r="N43" s="294"/>
      <c r="O43" s="292" t="s">
        <v>285</v>
      </c>
      <c r="P43" s="293"/>
      <c r="Q43" s="75"/>
      <c r="R43" s="75"/>
      <c r="S43" s="167"/>
      <c r="V43" s="75"/>
    </row>
    <row r="44" spans="1:22" ht="110.25" customHeight="1" x14ac:dyDescent="2">
      <c r="A44" s="237">
        <f t="shared" si="14"/>
        <v>36</v>
      </c>
      <c r="B44" s="220" t="s">
        <v>189</v>
      </c>
      <c r="C44" s="218" t="s">
        <v>187</v>
      </c>
      <c r="D44" s="239"/>
      <c r="E44" s="294">
        <v>400</v>
      </c>
      <c r="F44" s="294"/>
      <c r="G44" s="294"/>
      <c r="H44" s="276">
        <v>-400</v>
      </c>
      <c r="I44" s="294"/>
      <c r="J44" s="294"/>
      <c r="K44" s="276">
        <f t="shared" si="13"/>
        <v>0</v>
      </c>
      <c r="L44" s="294"/>
      <c r="M44" s="294"/>
      <c r="N44" s="294"/>
      <c r="O44" s="292" t="s">
        <v>285</v>
      </c>
      <c r="P44" s="293"/>
      <c r="Q44" s="75"/>
      <c r="R44" s="75"/>
      <c r="S44" s="167"/>
      <c r="V44" s="75"/>
    </row>
    <row r="45" spans="1:22" ht="110.25" customHeight="1" x14ac:dyDescent="2">
      <c r="A45" s="237">
        <f t="shared" si="14"/>
        <v>37</v>
      </c>
      <c r="B45" s="220" t="s">
        <v>192</v>
      </c>
      <c r="C45" s="218" t="s">
        <v>190</v>
      </c>
      <c r="D45" s="239"/>
      <c r="E45" s="294">
        <v>1500</v>
      </c>
      <c r="F45" s="294"/>
      <c r="G45" s="294"/>
      <c r="H45" s="276">
        <v>-1500</v>
      </c>
      <c r="I45" s="294"/>
      <c r="J45" s="294"/>
      <c r="K45" s="276">
        <f t="shared" si="13"/>
        <v>0</v>
      </c>
      <c r="L45" s="294"/>
      <c r="M45" s="294"/>
      <c r="N45" s="294"/>
      <c r="O45" s="292" t="s">
        <v>285</v>
      </c>
      <c r="P45" s="293"/>
      <c r="Q45" s="75"/>
      <c r="R45" s="75"/>
      <c r="S45" s="167"/>
      <c r="V45" s="75"/>
    </row>
    <row r="46" spans="1:22" ht="110.25" customHeight="1" x14ac:dyDescent="2">
      <c r="A46" s="237">
        <f t="shared" si="14"/>
        <v>38</v>
      </c>
      <c r="B46" s="220" t="s">
        <v>152</v>
      </c>
      <c r="C46" s="218" t="s">
        <v>168</v>
      </c>
      <c r="D46" s="239"/>
      <c r="E46" s="294">
        <v>600</v>
      </c>
      <c r="F46" s="294"/>
      <c r="G46" s="294"/>
      <c r="H46" s="276">
        <v>-600</v>
      </c>
      <c r="I46" s="294"/>
      <c r="J46" s="294"/>
      <c r="K46" s="276">
        <f t="shared" si="13"/>
        <v>0</v>
      </c>
      <c r="L46" s="294"/>
      <c r="M46" s="294"/>
      <c r="N46" s="294"/>
      <c r="O46" s="292" t="s">
        <v>285</v>
      </c>
      <c r="P46" s="293"/>
      <c r="Q46" s="75"/>
      <c r="R46" s="75"/>
      <c r="S46" s="167"/>
      <c r="V46" s="75"/>
    </row>
    <row r="47" spans="1:22" s="259" customFormat="1" ht="110.25" customHeight="1" thickBot="1" x14ac:dyDescent="1.95">
      <c r="A47" s="482" t="s">
        <v>255</v>
      </c>
      <c r="B47" s="483"/>
      <c r="C47" s="483"/>
      <c r="D47" s="257"/>
      <c r="E47" s="296">
        <f>SUM(E32:E46)</f>
        <v>128566</v>
      </c>
      <c r="F47" s="296">
        <f>SUM(F32:F46)</f>
        <v>0</v>
      </c>
      <c r="G47" s="296">
        <f>SUM(G32:G46)</f>
        <v>4888</v>
      </c>
      <c r="H47" s="296">
        <f>SUM(H32:H46)</f>
        <v>-48500</v>
      </c>
      <c r="I47" s="296">
        <f>SUM(I32:I46)</f>
        <v>50000</v>
      </c>
      <c r="J47" s="296">
        <f t="shared" ref="J47:P47" si="16">SUM(J32:J46)</f>
        <v>-5360</v>
      </c>
      <c r="K47" s="296">
        <f>SUM(K32:K46)</f>
        <v>129594</v>
      </c>
      <c r="L47" s="296">
        <f t="shared" si="16"/>
        <v>27000</v>
      </c>
      <c r="M47" s="297">
        <f t="shared" si="16"/>
        <v>0</v>
      </c>
      <c r="N47" s="297">
        <f t="shared" si="16"/>
        <v>0</v>
      </c>
      <c r="O47" s="297">
        <f t="shared" si="16"/>
        <v>102594</v>
      </c>
      <c r="P47" s="297">
        <f t="shared" si="16"/>
        <v>0</v>
      </c>
      <c r="Q47" s="258"/>
    </row>
    <row r="48" spans="1:22" s="275" customFormat="1" ht="110.25" customHeight="1" thickBot="1" x14ac:dyDescent="1.95">
      <c r="A48" s="485" t="s">
        <v>22</v>
      </c>
      <c r="B48" s="486"/>
      <c r="C48" s="486"/>
      <c r="D48" s="271"/>
      <c r="E48" s="335">
        <f t="shared" ref="E48:P48" si="17">+E47+E31+E14+E12</f>
        <v>304174</v>
      </c>
      <c r="F48" s="272">
        <f t="shared" si="17"/>
        <v>0</v>
      </c>
      <c r="G48" s="272">
        <f t="shared" si="17"/>
        <v>4888</v>
      </c>
      <c r="H48" s="272">
        <f>+H47+H31+H14+H12</f>
        <v>-48500</v>
      </c>
      <c r="I48" s="272">
        <f t="shared" si="17"/>
        <v>76000</v>
      </c>
      <c r="J48" s="272">
        <f t="shared" si="17"/>
        <v>-11860</v>
      </c>
      <c r="K48" s="338">
        <f t="shared" si="17"/>
        <v>324702</v>
      </c>
      <c r="L48" s="272">
        <f t="shared" si="17"/>
        <v>27000</v>
      </c>
      <c r="M48" s="272">
        <f t="shared" si="17"/>
        <v>86620</v>
      </c>
      <c r="N48" s="272">
        <f t="shared" si="17"/>
        <v>72200</v>
      </c>
      <c r="O48" s="273">
        <f t="shared" si="17"/>
        <v>102594</v>
      </c>
      <c r="P48" s="273">
        <f t="shared" si="17"/>
        <v>36288</v>
      </c>
      <c r="Q48" s="274"/>
      <c r="R48" s="274"/>
    </row>
    <row r="49" spans="1:26" s="82" customFormat="1" ht="26.25" customHeight="1" thickTop="1" x14ac:dyDescent="2">
      <c r="C49" s="83"/>
      <c r="D49" s="83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V49" s="167"/>
    </row>
    <row r="50" spans="1:26" s="82" customFormat="1" ht="89.25" hidden="1" customHeight="1" x14ac:dyDescent="1.75">
      <c r="B50" s="487"/>
      <c r="C50" s="487"/>
      <c r="D50" s="487"/>
      <c r="E50" s="487"/>
      <c r="F50" s="487"/>
      <c r="G50" s="86"/>
      <c r="H50" s="84"/>
      <c r="I50" s="84"/>
      <c r="J50" s="84"/>
      <c r="K50" s="488" t="s">
        <v>322</v>
      </c>
      <c r="L50" s="488"/>
      <c r="M50" s="488"/>
      <c r="N50" s="488"/>
      <c r="O50" s="488"/>
      <c r="P50" s="488"/>
      <c r="Q50" s="189"/>
      <c r="R50" s="189"/>
      <c r="S50" s="189"/>
      <c r="T50" s="189"/>
    </row>
    <row r="51" spans="1:26" s="82" customFormat="1" ht="119.25" hidden="1" customHeight="1" x14ac:dyDescent="1.85">
      <c r="B51" s="196"/>
      <c r="C51" s="183"/>
      <c r="E51" s="489"/>
      <c r="F51" s="489"/>
      <c r="H51" s="86"/>
      <c r="I51" s="86"/>
      <c r="L51" s="179" t="s">
        <v>325</v>
      </c>
      <c r="M51" s="195" t="str">
        <f>+M5</f>
        <v xml:space="preserve">กสิกร 119-3-21759-8 </v>
      </c>
      <c r="N51" s="180" t="str">
        <f>+N5</f>
        <v xml:space="preserve">กสิกร 119-3-21471-8  </v>
      </c>
      <c r="O51" s="180" t="str">
        <f>+O5</f>
        <v>SCB 611-281075-3</v>
      </c>
      <c r="P51" s="180" t="str">
        <f>+P5</f>
        <v>SCB 611-261071-1</v>
      </c>
      <c r="Q51" s="187" t="s">
        <v>28</v>
      </c>
      <c r="S51" s="85"/>
    </row>
    <row r="52" spans="1:26" s="82" customFormat="1" ht="119.25" hidden="1" customHeight="1" x14ac:dyDescent="1.85">
      <c r="B52" s="196"/>
      <c r="C52" s="183"/>
      <c r="E52" s="489"/>
      <c r="F52" s="489"/>
      <c r="G52" s="240"/>
      <c r="H52" s="90" t="s">
        <v>256</v>
      </c>
      <c r="I52" s="90"/>
      <c r="L52" s="170">
        <v>311114.19</v>
      </c>
      <c r="M52" s="170">
        <v>891.10000000000582</v>
      </c>
      <c r="N52" s="170">
        <v>488.62000000000262</v>
      </c>
      <c r="O52" s="170">
        <v>536.72000000000116</v>
      </c>
      <c r="P52" s="170">
        <v>500</v>
      </c>
      <c r="Q52" s="172">
        <f>SUM(L52:P52)</f>
        <v>313530.63</v>
      </c>
      <c r="S52" s="87"/>
    </row>
    <row r="53" spans="1:26" s="82" customFormat="1" ht="119.25" hidden="1" customHeight="1" x14ac:dyDescent="1.85">
      <c r="B53" s="196"/>
      <c r="C53" s="183"/>
      <c r="E53" s="490"/>
      <c r="F53" s="490"/>
      <c r="G53" s="240"/>
      <c r="H53" s="90" t="s">
        <v>319</v>
      </c>
      <c r="I53" s="90"/>
      <c r="L53" s="173">
        <v>27000</v>
      </c>
      <c r="M53" s="173">
        <f>+M48</f>
        <v>86620</v>
      </c>
      <c r="N53" s="174">
        <f>+N48</f>
        <v>72200</v>
      </c>
      <c r="O53" s="174">
        <f>+O48</f>
        <v>102594</v>
      </c>
      <c r="P53" s="174">
        <f>+P48</f>
        <v>36288</v>
      </c>
      <c r="Q53" s="181">
        <f>SUM(L53:P53)</f>
        <v>324702</v>
      </c>
      <c r="S53" s="85"/>
    </row>
    <row r="54" spans="1:26" s="82" customFormat="1" ht="119.25" hidden="1" customHeight="1" x14ac:dyDescent="1.85">
      <c r="B54" s="196"/>
      <c r="C54" s="183"/>
      <c r="E54" s="490"/>
      <c r="F54" s="490"/>
      <c r="G54" s="240"/>
      <c r="H54" s="90" t="s">
        <v>320</v>
      </c>
      <c r="I54" s="90"/>
      <c r="L54" s="176">
        <f>+L52-L53</f>
        <v>284114.19</v>
      </c>
      <c r="M54" s="176">
        <f>SUM(M53:M53)</f>
        <v>86620</v>
      </c>
      <c r="N54" s="176">
        <f>SUM(N53:N53)</f>
        <v>72200</v>
      </c>
      <c r="O54" s="176">
        <f>SUM(O53:O53)</f>
        <v>102594</v>
      </c>
      <c r="P54" s="176">
        <f>SUM(P53:P53)</f>
        <v>36288</v>
      </c>
      <c r="Q54" s="177">
        <f>SUM(L54:P54)</f>
        <v>581816.18999999994</v>
      </c>
      <c r="S54" s="85"/>
    </row>
    <row r="55" spans="1:26" s="82" customFormat="1" ht="106.5" hidden="1" customHeight="1" x14ac:dyDescent="1.9">
      <c r="B55" s="206"/>
      <c r="C55" s="183"/>
      <c r="E55" s="491"/>
      <c r="F55" s="491"/>
      <c r="G55" s="240"/>
      <c r="H55" s="90" t="s">
        <v>321</v>
      </c>
      <c r="I55" s="90"/>
      <c r="L55" s="175"/>
      <c r="M55" s="175">
        <f>+M53</f>
        <v>86620</v>
      </c>
      <c r="N55" s="175">
        <f>+N53</f>
        <v>72200</v>
      </c>
      <c r="O55" s="175">
        <f>+O53</f>
        <v>102594</v>
      </c>
      <c r="P55" s="175">
        <f>+P53</f>
        <v>36288</v>
      </c>
      <c r="Q55" s="178">
        <f>SUM(M55:P55)</f>
        <v>297702</v>
      </c>
    </row>
    <row r="56" spans="1:26" s="82" customFormat="1" ht="109.5" hidden="1" customHeight="1" thickBot="1" x14ac:dyDescent="1.95">
      <c r="A56" s="88"/>
      <c r="B56" s="196"/>
      <c r="C56" s="183"/>
      <c r="E56" s="490"/>
      <c r="F56" s="490"/>
      <c r="G56" s="240"/>
      <c r="H56" s="182" t="s">
        <v>257</v>
      </c>
      <c r="I56" s="182"/>
      <c r="L56" s="190">
        <f t="shared" ref="L56:P56" si="18">+L52+L53-L55</f>
        <v>338114.19</v>
      </c>
      <c r="M56" s="190">
        <f t="shared" si="18"/>
        <v>891.10000000000582</v>
      </c>
      <c r="N56" s="190">
        <f t="shared" si="18"/>
        <v>488.61999999999534</v>
      </c>
      <c r="O56" s="190">
        <f t="shared" si="18"/>
        <v>536.72000000000116</v>
      </c>
      <c r="P56" s="190">
        <f t="shared" si="18"/>
        <v>500</v>
      </c>
      <c r="Q56" s="190">
        <f>+Q52+Q53-Q55</f>
        <v>340530.63</v>
      </c>
      <c r="R56" s="85">
        <f>+L56+M56+N56+O56+P56-Q56</f>
        <v>0</v>
      </c>
      <c r="S56" s="89"/>
    </row>
    <row r="57" spans="1:26" s="82" customFormat="1" ht="93.75" hidden="1" x14ac:dyDescent="1.9">
      <c r="A57" s="88"/>
      <c r="B57" s="196"/>
      <c r="C57" s="183"/>
      <c r="E57" s="490"/>
      <c r="F57" s="490"/>
      <c r="G57" s="240"/>
      <c r="H57" s="182"/>
      <c r="I57" s="182"/>
      <c r="K57" s="205"/>
      <c r="L57" s="205"/>
      <c r="M57" s="205"/>
      <c r="N57" s="205"/>
      <c r="O57" s="205"/>
      <c r="P57" s="205"/>
      <c r="R57" s="89"/>
    </row>
    <row r="58" spans="1:26" s="82" customFormat="1" hidden="1" x14ac:dyDescent="2">
      <c r="A58" s="75"/>
      <c r="B58" s="197"/>
      <c r="C58" s="183"/>
      <c r="E58" s="492"/>
      <c r="F58" s="492"/>
      <c r="G58" s="76"/>
      <c r="J58" s="77"/>
      <c r="K58" s="77"/>
      <c r="L58" s="171"/>
      <c r="M58" s="171"/>
      <c r="N58" s="171"/>
      <c r="O58" s="77"/>
      <c r="P58" s="77"/>
      <c r="Q58" s="77"/>
      <c r="R58" s="77"/>
      <c r="S58" s="77"/>
      <c r="T58" s="75"/>
      <c r="U58" s="169"/>
      <c r="V58" s="75"/>
    </row>
    <row r="59" spans="1:26" ht="117.75" hidden="1" customHeight="1" x14ac:dyDescent="2">
      <c r="C59" s="484"/>
      <c r="D59" s="484"/>
      <c r="E59" s="76"/>
      <c r="F59" s="76"/>
      <c r="G59" s="76"/>
      <c r="V59" s="169"/>
    </row>
    <row r="60" spans="1:26" ht="117.75" hidden="1" customHeight="1" x14ac:dyDescent="2">
      <c r="C60" s="78"/>
      <c r="E60" s="76"/>
      <c r="F60" s="76"/>
      <c r="G60" s="76"/>
      <c r="K60" s="77">
        <f>+L56-338114.19</f>
        <v>0</v>
      </c>
      <c r="N60" s="77">
        <f>+O56-536.72</f>
        <v>1.1368683772161603E-12</v>
      </c>
      <c r="O60" s="77">
        <f>+P56-500</f>
        <v>0</v>
      </c>
    </row>
    <row r="61" spans="1:26" hidden="1" x14ac:dyDescent="2">
      <c r="E61" s="76"/>
      <c r="F61" s="76"/>
      <c r="G61" s="76"/>
    </row>
    <row r="62" spans="1:26" x14ac:dyDescent="2">
      <c r="E62" s="76"/>
      <c r="F62" s="76"/>
      <c r="G62" s="76"/>
      <c r="K62" s="77">
        <f>+E48+G48+H48+I48+J48-K48</f>
        <v>0</v>
      </c>
    </row>
    <row r="63" spans="1:26" x14ac:dyDescent="2">
      <c r="K63" s="79"/>
    </row>
    <row r="64" spans="1:26" s="77" customFormat="1" x14ac:dyDescent="2">
      <c r="A64" s="75"/>
      <c r="B64" s="75"/>
      <c r="C64" s="80"/>
      <c r="D64" s="80"/>
      <c r="T64" s="75"/>
      <c r="U64" s="75"/>
      <c r="V64" s="167"/>
      <c r="W64" s="75"/>
      <c r="X64" s="75"/>
      <c r="Y64" s="75"/>
      <c r="Z64" s="75"/>
    </row>
  </sheetData>
  <mergeCells count="23">
    <mergeCell ref="C59:D59"/>
    <mergeCell ref="A48:C48"/>
    <mergeCell ref="B50:F50"/>
    <mergeCell ref="K50:P50"/>
    <mergeCell ref="E51:F51"/>
    <mergeCell ref="E52:F52"/>
    <mergeCell ref="E53:F53"/>
    <mergeCell ref="E54:F54"/>
    <mergeCell ref="E55:F55"/>
    <mergeCell ref="E56:F56"/>
    <mergeCell ref="E57:F57"/>
    <mergeCell ref="E58:F58"/>
    <mergeCell ref="A12:C12"/>
    <mergeCell ref="A14:C14"/>
    <mergeCell ref="E20:K20"/>
    <mergeCell ref="A31:C31"/>
    <mergeCell ref="A47:C47"/>
    <mergeCell ref="A1:P1"/>
    <mergeCell ref="A2:P2"/>
    <mergeCell ref="A4:A5"/>
    <mergeCell ref="B4:B5"/>
    <mergeCell ref="C4:C5"/>
    <mergeCell ref="E4:K4"/>
  </mergeCells>
  <pageMargins left="0.15748031496062992" right="3.937007874015748E-2" top="0.19" bottom="0.17" header="0.15748031496062992" footer="0.17"/>
  <pageSetup paperSize="5" scale="19" orientation="landscape" verticalDpi="0" r:id="rId1"/>
  <rowBreaks count="3" manualBreakCount="3">
    <brk id="31" max="15" man="1"/>
    <brk id="59" max="17" man="1"/>
    <brk id="60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9180-3108-4A2F-B1CC-8B60733F7699}">
  <dimension ref="A1:Z63"/>
  <sheetViews>
    <sheetView zoomScale="20" zoomScaleNormal="20" zoomScaleSheetLayoutView="2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H5" sqref="H5"/>
    </sheetView>
  </sheetViews>
  <sheetFormatPr defaultColWidth="8.75" defaultRowHeight="102" x14ac:dyDescent="2"/>
  <cols>
    <col min="1" max="1" width="9.125" style="75" bestFit="1" customWidth="1"/>
    <col min="2" max="2" width="143.875" style="75" customWidth="1"/>
    <col min="3" max="3" width="46" style="80" customWidth="1"/>
    <col min="4" max="4" width="50.625" style="80" customWidth="1"/>
    <col min="5" max="5" width="45.75" style="77" bestFit="1" customWidth="1"/>
    <col min="6" max="6" width="39.375" style="77" hidden="1" customWidth="1"/>
    <col min="7" max="7" width="47" style="77" customWidth="1"/>
    <col min="8" max="8" width="52.25" style="77" customWidth="1"/>
    <col min="9" max="9" width="48.5" style="77" hidden="1" customWidth="1"/>
    <col min="10" max="10" width="43" style="77" customWidth="1"/>
    <col min="11" max="11" width="52" style="77" customWidth="1"/>
    <col min="12" max="12" width="58.75" style="77" customWidth="1"/>
    <col min="13" max="13" width="65.75" style="77" customWidth="1"/>
    <col min="14" max="14" width="64.25" style="77" customWidth="1"/>
    <col min="15" max="15" width="74.5" style="77" customWidth="1"/>
    <col min="16" max="16" width="68.625" style="77" customWidth="1"/>
    <col min="17" max="17" width="71.75" style="77" bestFit="1" customWidth="1"/>
    <col min="18" max="18" width="64.75" style="77" customWidth="1"/>
    <col min="19" max="19" width="65" style="77" customWidth="1"/>
    <col min="20" max="20" width="47.125" style="75" bestFit="1" customWidth="1"/>
    <col min="21" max="21" width="30.75" style="75" bestFit="1" customWidth="1"/>
    <col min="22" max="22" width="43.125" style="167" customWidth="1"/>
    <col min="23" max="16384" width="8.75" style="75"/>
  </cols>
  <sheetData>
    <row r="1" spans="1:22" ht="85.5" customHeight="1" x14ac:dyDescent="2">
      <c r="A1" s="462" t="s">
        <v>238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192"/>
      <c r="R1" s="192"/>
      <c r="S1" s="192"/>
      <c r="T1" s="192"/>
    </row>
    <row r="2" spans="1:22" s="184" customFormat="1" ht="78" customHeight="1" x14ac:dyDescent="0.2">
      <c r="A2" s="463" t="s">
        <v>408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202"/>
      <c r="R2" s="202"/>
      <c r="S2" s="202"/>
      <c r="T2" s="202"/>
      <c r="V2" s="185"/>
    </row>
    <row r="3" spans="1:22" ht="18" customHeight="1" x14ac:dyDescent="2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</row>
    <row r="4" spans="1:22" s="199" customFormat="1" ht="89.25" customHeight="1" x14ac:dyDescent="1.45">
      <c r="A4" s="464" t="s">
        <v>0</v>
      </c>
      <c r="B4" s="464" t="s">
        <v>239</v>
      </c>
      <c r="C4" s="493" t="s">
        <v>9</v>
      </c>
      <c r="D4" s="198"/>
      <c r="E4" s="495" t="s">
        <v>316</v>
      </c>
      <c r="F4" s="496"/>
      <c r="G4" s="496"/>
      <c r="H4" s="496"/>
      <c r="I4" s="496"/>
      <c r="J4" s="496"/>
      <c r="K4" s="497"/>
      <c r="L4" s="260" t="s">
        <v>240</v>
      </c>
      <c r="M4" s="261" t="s">
        <v>241</v>
      </c>
      <c r="N4" s="260" t="s">
        <v>295</v>
      </c>
      <c r="O4" s="262" t="s">
        <v>301</v>
      </c>
      <c r="P4" s="262" t="s">
        <v>303</v>
      </c>
    </row>
    <row r="5" spans="1:22" s="199" customFormat="1" ht="78.75" x14ac:dyDescent="1.45">
      <c r="A5" s="465"/>
      <c r="B5" s="465"/>
      <c r="C5" s="494"/>
      <c r="D5" s="200"/>
      <c r="E5" s="333" t="s">
        <v>8</v>
      </c>
      <c r="F5" s="201" t="s">
        <v>324</v>
      </c>
      <c r="G5" s="209" t="s">
        <v>330</v>
      </c>
      <c r="H5" s="208" t="s">
        <v>285</v>
      </c>
      <c r="I5" s="204" t="s">
        <v>360</v>
      </c>
      <c r="J5" s="204" t="s">
        <v>359</v>
      </c>
      <c r="K5" s="333" t="s">
        <v>323</v>
      </c>
      <c r="L5" s="263" t="s">
        <v>325</v>
      </c>
      <c r="M5" s="264" t="s">
        <v>242</v>
      </c>
      <c r="N5" s="263" t="s">
        <v>243</v>
      </c>
      <c r="O5" s="265" t="s">
        <v>312</v>
      </c>
      <c r="P5" s="265" t="s">
        <v>313</v>
      </c>
    </row>
    <row r="6" spans="1:22" s="188" customFormat="1" ht="98.25" customHeight="1" x14ac:dyDescent="1.85">
      <c r="A6" s="210">
        <v>1</v>
      </c>
      <c r="B6" s="342" t="s">
        <v>361</v>
      </c>
      <c r="C6" s="211" t="s">
        <v>244</v>
      </c>
      <c r="D6" s="212"/>
      <c r="E6" s="277">
        <v>6500</v>
      </c>
      <c r="F6" s="277"/>
      <c r="G6" s="277"/>
      <c r="H6" s="277"/>
      <c r="I6" s="277"/>
      <c r="J6" s="277"/>
      <c r="K6" s="279"/>
      <c r="L6" s="278"/>
      <c r="M6" s="366" t="s">
        <v>395</v>
      </c>
      <c r="N6" s="278"/>
      <c r="O6" s="278"/>
      <c r="P6" s="278"/>
    </row>
    <row r="7" spans="1:22" s="188" customFormat="1" ht="98.25" customHeight="1" x14ac:dyDescent="1.85">
      <c r="A7" s="213">
        <v>2</v>
      </c>
      <c r="B7" s="214" t="s">
        <v>343</v>
      </c>
      <c r="C7" s="215" t="s">
        <v>245</v>
      </c>
      <c r="D7" s="216"/>
      <c r="E7" s="277">
        <v>46200</v>
      </c>
      <c r="F7" s="277"/>
      <c r="G7" s="277"/>
      <c r="H7" s="277"/>
      <c r="I7" s="277"/>
      <c r="J7" s="277"/>
      <c r="K7" s="279">
        <f>SUM(E7:J7)</f>
        <v>46200</v>
      </c>
      <c r="L7" s="280"/>
      <c r="M7" s="280"/>
      <c r="N7" s="280">
        <v>46200</v>
      </c>
      <c r="O7" s="280"/>
      <c r="P7" s="280"/>
    </row>
    <row r="8" spans="1:22" s="188" customFormat="1" ht="98.25" customHeight="1" x14ac:dyDescent="1.85">
      <c r="A8" s="213">
        <f>+A7+1</f>
        <v>3</v>
      </c>
      <c r="B8" s="217" t="s">
        <v>290</v>
      </c>
      <c r="C8" s="218" t="s">
        <v>4</v>
      </c>
      <c r="D8" s="219"/>
      <c r="E8" s="277">
        <v>10648</v>
      </c>
      <c r="F8" s="277"/>
      <c r="G8" s="277"/>
      <c r="H8" s="277"/>
      <c r="I8" s="277"/>
      <c r="J8" s="277"/>
      <c r="K8" s="279">
        <f t="shared" ref="K8:K11" si="0">SUM(E8:J8)</f>
        <v>10648</v>
      </c>
      <c r="L8" s="280"/>
      <c r="M8" s="279">
        <f>+K8</f>
        <v>10648</v>
      </c>
      <c r="N8" s="280"/>
      <c r="O8" s="280"/>
      <c r="P8" s="280"/>
    </row>
    <row r="9" spans="1:22" s="188" customFormat="1" ht="98.25" customHeight="1" x14ac:dyDescent="1.85">
      <c r="A9" s="213">
        <f t="shared" ref="A9:A11" si="1">+A8+1</f>
        <v>4</v>
      </c>
      <c r="B9" s="220" t="s">
        <v>3</v>
      </c>
      <c r="C9" s="218" t="s">
        <v>164</v>
      </c>
      <c r="D9" s="219"/>
      <c r="E9" s="277">
        <v>7986</v>
      </c>
      <c r="F9" s="277"/>
      <c r="G9" s="277"/>
      <c r="H9" s="277"/>
      <c r="I9" s="277"/>
      <c r="J9" s="277"/>
      <c r="K9" s="279">
        <f t="shared" si="0"/>
        <v>7986</v>
      </c>
      <c r="L9" s="280"/>
      <c r="M9" s="279">
        <f>+K9</f>
        <v>7986</v>
      </c>
      <c r="N9" s="280"/>
      <c r="O9" s="280"/>
      <c r="P9" s="280"/>
    </row>
    <row r="10" spans="1:22" s="188" customFormat="1" ht="98.25" customHeight="1" x14ac:dyDescent="1.85">
      <c r="A10" s="213">
        <f t="shared" si="1"/>
        <v>5</v>
      </c>
      <c r="B10" s="220" t="s">
        <v>10</v>
      </c>
      <c r="C10" s="218" t="s">
        <v>246</v>
      </c>
      <c r="D10" s="219"/>
      <c r="E10" s="277">
        <v>7986</v>
      </c>
      <c r="F10" s="277"/>
      <c r="G10" s="277"/>
      <c r="H10" s="277"/>
      <c r="I10" s="277"/>
      <c r="J10" s="277"/>
      <c r="K10" s="279">
        <f t="shared" si="0"/>
        <v>7986</v>
      </c>
      <c r="L10" s="280"/>
      <c r="M10" s="280">
        <f>+K10</f>
        <v>7986</v>
      </c>
      <c r="N10" s="280"/>
      <c r="O10" s="280"/>
      <c r="P10" s="280"/>
    </row>
    <row r="11" spans="1:22" s="188" customFormat="1" ht="98.25" customHeight="1" x14ac:dyDescent="1.85">
      <c r="A11" s="213">
        <f t="shared" si="1"/>
        <v>6</v>
      </c>
      <c r="B11" s="221" t="s">
        <v>247</v>
      </c>
      <c r="C11" s="222" t="s">
        <v>248</v>
      </c>
      <c r="D11" s="223"/>
      <c r="E11" s="281">
        <v>60000</v>
      </c>
      <c r="F11" s="281"/>
      <c r="G11" s="281"/>
      <c r="H11" s="281"/>
      <c r="I11" s="281"/>
      <c r="J11" s="281"/>
      <c r="K11" s="279">
        <f t="shared" si="0"/>
        <v>60000</v>
      </c>
      <c r="L11" s="282"/>
      <c r="M11" s="282">
        <f>+K11</f>
        <v>60000</v>
      </c>
      <c r="N11" s="282"/>
      <c r="O11" s="282"/>
      <c r="P11" s="282"/>
    </row>
    <row r="12" spans="1:22" s="275" customFormat="1" ht="111.75" customHeight="1" thickBot="1" x14ac:dyDescent="1.95">
      <c r="A12" s="473" t="s">
        <v>249</v>
      </c>
      <c r="B12" s="473"/>
      <c r="C12" s="474"/>
      <c r="D12" s="299"/>
      <c r="E12" s="283">
        <f>SUM(E6:E11)</f>
        <v>139320</v>
      </c>
      <c r="F12" s="283">
        <f t="shared" ref="F12:I12" si="2">SUM(F6:F11)</f>
        <v>0</v>
      </c>
      <c r="G12" s="283">
        <f t="shared" si="2"/>
        <v>0</v>
      </c>
      <c r="H12" s="283">
        <f t="shared" si="2"/>
        <v>0</v>
      </c>
      <c r="I12" s="283">
        <f t="shared" si="2"/>
        <v>0</v>
      </c>
      <c r="J12" s="283">
        <f>SUM(J6:J11)</f>
        <v>0</v>
      </c>
      <c r="K12" s="283">
        <f>SUM(K6:K11)</f>
        <v>132820</v>
      </c>
      <c r="L12" s="283">
        <f t="shared" ref="L12:P12" si="3">SUM(L6:L11)</f>
        <v>0</v>
      </c>
      <c r="M12" s="283">
        <f>SUM(M6:M11)</f>
        <v>86620</v>
      </c>
      <c r="N12" s="283">
        <f t="shared" si="3"/>
        <v>46200</v>
      </c>
      <c r="O12" s="283">
        <f t="shared" si="3"/>
        <v>0</v>
      </c>
      <c r="P12" s="283">
        <f t="shared" si="3"/>
        <v>0</v>
      </c>
      <c r="Q12" s="274"/>
      <c r="R12" s="274"/>
    </row>
    <row r="13" spans="1:22" ht="111.75" customHeight="1" x14ac:dyDescent="2">
      <c r="A13" s="224">
        <f>+A11+1</f>
        <v>7</v>
      </c>
      <c r="B13" s="362" t="s">
        <v>29</v>
      </c>
      <c r="C13" s="346" t="s">
        <v>363</v>
      </c>
      <c r="D13" s="347"/>
      <c r="E13" s="276"/>
      <c r="F13" s="276"/>
      <c r="G13" s="276"/>
      <c r="H13" s="276"/>
      <c r="I13" s="276"/>
      <c r="J13" s="276"/>
      <c r="K13" s="276">
        <f>SUM(E13:J13)</f>
        <v>0</v>
      </c>
      <c r="L13" s="348"/>
      <c r="M13" s="348"/>
      <c r="N13" s="349"/>
      <c r="O13" s="348"/>
      <c r="P13" s="348"/>
      <c r="Q13" s="75"/>
      <c r="R13" s="75"/>
      <c r="S13" s="167"/>
      <c r="V13" s="75"/>
    </row>
    <row r="14" spans="1:22" s="192" customFormat="1" ht="117.75" customHeight="1" thickBot="1" x14ac:dyDescent="1.95">
      <c r="A14" s="475" t="s">
        <v>154</v>
      </c>
      <c r="B14" s="475"/>
      <c r="C14" s="476"/>
      <c r="D14" s="193"/>
      <c r="E14" s="298">
        <f>SUM(E13)</f>
        <v>0</v>
      </c>
      <c r="F14" s="298">
        <f>+F13</f>
        <v>0</v>
      </c>
      <c r="G14" s="298">
        <f t="shared" ref="G14" si="4">SUM(G13)</f>
        <v>0</v>
      </c>
      <c r="H14" s="298">
        <f>+H13</f>
        <v>0</v>
      </c>
      <c r="I14" s="298">
        <f>+I13</f>
        <v>0</v>
      </c>
      <c r="J14" s="298">
        <f t="shared" ref="J14" si="5">SUM(J13)</f>
        <v>0</v>
      </c>
      <c r="K14" s="298">
        <f>SUM(K13)</f>
        <v>0</v>
      </c>
      <c r="L14" s="298">
        <f t="shared" ref="L14:P14" si="6">SUM(L13)</f>
        <v>0</v>
      </c>
      <c r="M14" s="298">
        <f t="shared" si="6"/>
        <v>0</v>
      </c>
      <c r="N14" s="298">
        <f t="shared" si="6"/>
        <v>0</v>
      </c>
      <c r="O14" s="298">
        <f t="shared" si="6"/>
        <v>0</v>
      </c>
      <c r="P14" s="298">
        <f t="shared" si="6"/>
        <v>0</v>
      </c>
      <c r="R14" s="191"/>
      <c r="S14" s="194"/>
    </row>
    <row r="15" spans="1:22" ht="95.25" customHeight="1" x14ac:dyDescent="2">
      <c r="A15" s="227">
        <f>+A13+1</f>
        <v>8</v>
      </c>
      <c r="B15" s="228" t="s">
        <v>266</v>
      </c>
      <c r="C15" s="229" t="s">
        <v>250</v>
      </c>
      <c r="D15" s="230"/>
      <c r="E15" s="277">
        <v>2307</v>
      </c>
      <c r="F15" s="284"/>
      <c r="G15" s="285"/>
      <c r="H15" s="286"/>
      <c r="I15" s="341"/>
      <c r="J15" s="277"/>
      <c r="K15" s="277">
        <f>+E15+J15</f>
        <v>2307</v>
      </c>
      <c r="L15" s="280"/>
      <c r="M15" s="280"/>
      <c r="N15" s="280"/>
      <c r="O15" s="280"/>
      <c r="P15" s="280">
        <f t="shared" ref="P15:P20" si="7">+K15</f>
        <v>2307</v>
      </c>
      <c r="Q15" s="75"/>
      <c r="R15" s="75"/>
      <c r="S15" s="168"/>
      <c r="V15" s="75"/>
    </row>
    <row r="16" spans="1:22" ht="95.25" customHeight="1" x14ac:dyDescent="2">
      <c r="A16" s="213">
        <f>+A15+1</f>
        <v>9</v>
      </c>
      <c r="B16" s="231" t="s">
        <v>267</v>
      </c>
      <c r="C16" s="232" t="s">
        <v>250</v>
      </c>
      <c r="D16" s="230"/>
      <c r="E16" s="277">
        <v>1675</v>
      </c>
      <c r="F16" s="277"/>
      <c r="G16" s="277"/>
      <c r="H16" s="277"/>
      <c r="I16" s="277"/>
      <c r="J16" s="277"/>
      <c r="K16" s="277">
        <f>SUM(E16:J16)</f>
        <v>1675</v>
      </c>
      <c r="L16" s="280"/>
      <c r="M16" s="280"/>
      <c r="N16" s="280"/>
      <c r="O16" s="280"/>
      <c r="P16" s="280">
        <f t="shared" si="7"/>
        <v>1675</v>
      </c>
      <c r="Q16" s="75"/>
      <c r="R16" s="75"/>
      <c r="S16" s="168"/>
      <c r="V16" s="75"/>
    </row>
    <row r="17" spans="1:22" ht="95.25" customHeight="1" x14ac:dyDescent="2">
      <c r="A17" s="213">
        <f t="shared" ref="A17:A30" si="8">+A16+1</f>
        <v>10</v>
      </c>
      <c r="B17" s="231" t="s">
        <v>268</v>
      </c>
      <c r="C17" s="232" t="s">
        <v>250</v>
      </c>
      <c r="D17" s="230"/>
      <c r="E17" s="277">
        <v>1927</v>
      </c>
      <c r="F17" s="277"/>
      <c r="G17" s="277"/>
      <c r="H17" s="277"/>
      <c r="I17" s="277"/>
      <c r="J17" s="277"/>
      <c r="K17" s="277">
        <f>+E17</f>
        <v>1927</v>
      </c>
      <c r="L17" s="280"/>
      <c r="M17" s="280"/>
      <c r="N17" s="280"/>
      <c r="O17" s="280"/>
      <c r="P17" s="280">
        <f t="shared" si="7"/>
        <v>1927</v>
      </c>
      <c r="Q17" s="75"/>
      <c r="R17" s="75"/>
      <c r="S17" s="168"/>
      <c r="V17" s="75"/>
    </row>
    <row r="18" spans="1:22" ht="95.25" customHeight="1" x14ac:dyDescent="2">
      <c r="A18" s="213">
        <f t="shared" si="8"/>
        <v>11</v>
      </c>
      <c r="B18" s="231" t="s">
        <v>269</v>
      </c>
      <c r="C18" s="232" t="s">
        <v>250</v>
      </c>
      <c r="D18" s="233"/>
      <c r="E18" s="277">
        <v>5383</v>
      </c>
      <c r="F18" s="277"/>
      <c r="G18" s="277"/>
      <c r="H18" s="277"/>
      <c r="I18" s="277"/>
      <c r="J18" s="277">
        <v>0</v>
      </c>
      <c r="K18" s="277">
        <f>+E18+F18</f>
        <v>5383</v>
      </c>
      <c r="L18" s="280"/>
      <c r="M18" s="280"/>
      <c r="N18" s="280"/>
      <c r="O18" s="280"/>
      <c r="P18" s="280">
        <f t="shared" si="7"/>
        <v>5383</v>
      </c>
      <c r="Q18" s="75"/>
      <c r="R18" s="75"/>
      <c r="S18" s="168"/>
      <c r="V18" s="75"/>
    </row>
    <row r="19" spans="1:22" ht="95.25" customHeight="1" x14ac:dyDescent="2">
      <c r="A19" s="213">
        <f t="shared" si="8"/>
        <v>12</v>
      </c>
      <c r="B19" s="231" t="s">
        <v>270</v>
      </c>
      <c r="C19" s="232" t="s">
        <v>250</v>
      </c>
      <c r="D19" s="230"/>
      <c r="E19" s="277">
        <v>2067</v>
      </c>
      <c r="F19" s="277"/>
      <c r="G19" s="277"/>
      <c r="H19" s="277"/>
      <c r="I19" s="277"/>
      <c r="J19" s="277"/>
      <c r="K19" s="277">
        <f>SUM(E19:J19)</f>
        <v>2067</v>
      </c>
      <c r="L19" s="280"/>
      <c r="M19" s="280"/>
      <c r="N19" s="280"/>
      <c r="O19" s="280"/>
      <c r="P19" s="280">
        <f t="shared" si="7"/>
        <v>2067</v>
      </c>
      <c r="Q19" s="75"/>
      <c r="R19" s="75"/>
      <c r="S19" s="168"/>
      <c r="V19" s="75"/>
    </row>
    <row r="20" spans="1:22" ht="95.25" customHeight="1" x14ac:dyDescent="2">
      <c r="A20" s="213">
        <f t="shared" si="8"/>
        <v>13</v>
      </c>
      <c r="B20" s="231" t="s">
        <v>271</v>
      </c>
      <c r="C20" s="232" t="s">
        <v>250</v>
      </c>
      <c r="D20" s="233"/>
      <c r="E20" s="477" t="s">
        <v>29</v>
      </c>
      <c r="F20" s="478"/>
      <c r="G20" s="478"/>
      <c r="H20" s="478"/>
      <c r="I20" s="478"/>
      <c r="J20" s="478"/>
      <c r="K20" s="479"/>
      <c r="L20" s="280"/>
      <c r="M20" s="280"/>
      <c r="N20" s="280"/>
      <c r="O20" s="280"/>
      <c r="P20" s="280">
        <f t="shared" si="7"/>
        <v>0</v>
      </c>
      <c r="Q20" s="75"/>
      <c r="R20" s="75"/>
      <c r="S20" s="168"/>
      <c r="V20" s="75"/>
    </row>
    <row r="21" spans="1:22" ht="95.25" customHeight="1" x14ac:dyDescent="2">
      <c r="A21" s="213">
        <f t="shared" si="8"/>
        <v>14</v>
      </c>
      <c r="B21" s="231" t="s">
        <v>272</v>
      </c>
      <c r="C21" s="232" t="s">
        <v>250</v>
      </c>
      <c r="D21" s="230"/>
      <c r="E21" s="277">
        <v>1417</v>
      </c>
      <c r="F21" s="277"/>
      <c r="G21" s="277"/>
      <c r="H21" s="277"/>
      <c r="I21" s="277"/>
      <c r="J21" s="277"/>
      <c r="K21" s="277">
        <f>+E21</f>
        <v>1417</v>
      </c>
      <c r="L21" s="280"/>
      <c r="M21" s="280"/>
      <c r="N21" s="280"/>
      <c r="O21" s="280"/>
      <c r="P21" s="280">
        <f t="shared" ref="P21:P30" si="9">+K21</f>
        <v>1417</v>
      </c>
      <c r="Q21" s="75"/>
      <c r="R21" s="75"/>
      <c r="S21" s="168"/>
      <c r="V21" s="75"/>
    </row>
    <row r="22" spans="1:22" ht="95.25" customHeight="1" x14ac:dyDescent="2">
      <c r="A22" s="213">
        <f t="shared" si="8"/>
        <v>15</v>
      </c>
      <c r="B22" s="231" t="s">
        <v>273</v>
      </c>
      <c r="C22" s="232" t="s">
        <v>250</v>
      </c>
      <c r="D22" s="230"/>
      <c r="E22" s="277">
        <v>1813</v>
      </c>
      <c r="F22" s="277"/>
      <c r="G22" s="277"/>
      <c r="H22" s="277"/>
      <c r="I22" s="277"/>
      <c r="J22" s="277"/>
      <c r="K22" s="277">
        <f>+E22</f>
        <v>1813</v>
      </c>
      <c r="L22" s="280"/>
      <c r="M22" s="280"/>
      <c r="N22" s="280"/>
      <c r="O22" s="280"/>
      <c r="P22" s="280">
        <f t="shared" si="9"/>
        <v>1813</v>
      </c>
      <c r="Q22" s="75"/>
      <c r="R22" s="75"/>
      <c r="S22" s="168"/>
      <c r="V22" s="75"/>
    </row>
    <row r="23" spans="1:22" ht="95.25" customHeight="1" x14ac:dyDescent="2">
      <c r="A23" s="213">
        <f t="shared" si="8"/>
        <v>16</v>
      </c>
      <c r="B23" s="231" t="s">
        <v>274</v>
      </c>
      <c r="C23" s="232" t="s">
        <v>250</v>
      </c>
      <c r="D23" s="230"/>
      <c r="E23" s="477" t="s">
        <v>29</v>
      </c>
      <c r="F23" s="478"/>
      <c r="G23" s="478"/>
      <c r="H23" s="478"/>
      <c r="I23" s="478"/>
      <c r="J23" s="478"/>
      <c r="K23" s="479"/>
      <c r="L23" s="280"/>
      <c r="M23" s="280"/>
      <c r="N23" s="280"/>
      <c r="O23" s="280"/>
      <c r="P23" s="280"/>
      <c r="Q23" s="75"/>
      <c r="R23" s="75"/>
      <c r="S23" s="168"/>
      <c r="V23" s="75"/>
    </row>
    <row r="24" spans="1:22" ht="95.25" customHeight="1" x14ac:dyDescent="2">
      <c r="A24" s="213">
        <f t="shared" si="8"/>
        <v>17</v>
      </c>
      <c r="B24" s="231" t="s">
        <v>284</v>
      </c>
      <c r="C24" s="232" t="s">
        <v>250</v>
      </c>
      <c r="D24" s="233"/>
      <c r="E24" s="277">
        <v>3900</v>
      </c>
      <c r="F24" s="277"/>
      <c r="G24" s="277"/>
      <c r="H24" s="277"/>
      <c r="I24" s="277"/>
      <c r="J24" s="277"/>
      <c r="K24" s="277">
        <f t="shared" ref="K24:K30" si="10">+E24</f>
        <v>3900</v>
      </c>
      <c r="L24" s="280"/>
      <c r="M24" s="280"/>
      <c r="N24" s="280"/>
      <c r="O24" s="280"/>
      <c r="P24" s="280">
        <f t="shared" si="9"/>
        <v>3900</v>
      </c>
      <c r="Q24" s="75"/>
      <c r="R24" s="75"/>
      <c r="S24" s="168"/>
      <c r="V24" s="75"/>
    </row>
    <row r="25" spans="1:22" ht="95.25" customHeight="1" x14ac:dyDescent="2">
      <c r="A25" s="213">
        <f t="shared" si="8"/>
        <v>18</v>
      </c>
      <c r="B25" s="231" t="s">
        <v>282</v>
      </c>
      <c r="C25" s="232" t="s">
        <v>250</v>
      </c>
      <c r="D25" s="233"/>
      <c r="E25" s="277">
        <v>1635</v>
      </c>
      <c r="F25" s="277"/>
      <c r="G25" s="277"/>
      <c r="H25" s="277"/>
      <c r="I25" s="277"/>
      <c r="J25" s="277"/>
      <c r="K25" s="277">
        <f t="shared" si="10"/>
        <v>1635</v>
      </c>
      <c r="L25" s="280"/>
      <c r="M25" s="280"/>
      <c r="N25" s="280"/>
      <c r="O25" s="280"/>
      <c r="P25" s="280">
        <f t="shared" si="9"/>
        <v>1635</v>
      </c>
      <c r="Q25" s="75"/>
      <c r="R25" s="75"/>
      <c r="S25" s="168"/>
      <c r="V25" s="75"/>
    </row>
    <row r="26" spans="1:22" ht="95.25" customHeight="1" x14ac:dyDescent="2">
      <c r="A26" s="213">
        <f t="shared" si="8"/>
        <v>19</v>
      </c>
      <c r="B26" s="231" t="s">
        <v>275</v>
      </c>
      <c r="C26" s="232" t="s">
        <v>250</v>
      </c>
      <c r="D26" s="230"/>
      <c r="E26" s="277">
        <v>1831</v>
      </c>
      <c r="F26" s="277"/>
      <c r="G26" s="277"/>
      <c r="H26" s="277"/>
      <c r="I26" s="277"/>
      <c r="J26" s="277"/>
      <c r="K26" s="277">
        <f t="shared" si="10"/>
        <v>1831</v>
      </c>
      <c r="L26" s="280"/>
      <c r="M26" s="280"/>
      <c r="N26" s="280"/>
      <c r="O26" s="280"/>
      <c r="P26" s="280">
        <f t="shared" si="9"/>
        <v>1831</v>
      </c>
      <c r="Q26" s="75"/>
      <c r="R26" s="75"/>
      <c r="S26" s="168"/>
      <c r="V26" s="75"/>
    </row>
    <row r="27" spans="1:22" ht="95.25" customHeight="1" x14ac:dyDescent="2">
      <c r="A27" s="213">
        <f t="shared" si="8"/>
        <v>20</v>
      </c>
      <c r="B27" s="231" t="s">
        <v>265</v>
      </c>
      <c r="C27" s="232" t="s">
        <v>250</v>
      </c>
      <c r="D27" s="230"/>
      <c r="E27" s="277">
        <v>2309</v>
      </c>
      <c r="F27" s="277"/>
      <c r="G27" s="277"/>
      <c r="H27" s="277"/>
      <c r="I27" s="277"/>
      <c r="J27" s="277"/>
      <c r="K27" s="277">
        <f t="shared" si="10"/>
        <v>2309</v>
      </c>
      <c r="L27" s="280"/>
      <c r="M27" s="280"/>
      <c r="N27" s="280"/>
      <c r="O27" s="280"/>
      <c r="P27" s="280">
        <f t="shared" si="9"/>
        <v>2309</v>
      </c>
      <c r="Q27" s="75"/>
      <c r="R27" s="75"/>
      <c r="S27" s="168"/>
      <c r="V27" s="75"/>
    </row>
    <row r="28" spans="1:22" ht="95.25" customHeight="1" x14ac:dyDescent="2">
      <c r="A28" s="213">
        <f t="shared" si="8"/>
        <v>21</v>
      </c>
      <c r="B28" s="231" t="s">
        <v>262</v>
      </c>
      <c r="C28" s="232" t="s">
        <v>250</v>
      </c>
      <c r="D28" s="233"/>
      <c r="E28" s="287">
        <v>1687</v>
      </c>
      <c r="F28" s="277"/>
      <c r="G28" s="277"/>
      <c r="H28" s="277"/>
      <c r="I28" s="277"/>
      <c r="J28" s="277"/>
      <c r="K28" s="277">
        <f t="shared" si="10"/>
        <v>1687</v>
      </c>
      <c r="L28" s="280"/>
      <c r="M28" s="280"/>
      <c r="N28" s="280"/>
      <c r="O28" s="280"/>
      <c r="P28" s="280">
        <f t="shared" si="9"/>
        <v>1687</v>
      </c>
      <c r="Q28" s="75"/>
      <c r="R28" s="75"/>
      <c r="S28" s="168"/>
      <c r="V28" s="75"/>
    </row>
    <row r="29" spans="1:22" ht="95.25" customHeight="1" x14ac:dyDescent="2">
      <c r="A29" s="213">
        <f t="shared" si="8"/>
        <v>22</v>
      </c>
      <c r="B29" s="231" t="s">
        <v>261</v>
      </c>
      <c r="C29" s="232" t="s">
        <v>250</v>
      </c>
      <c r="D29" s="230"/>
      <c r="E29" s="277">
        <v>1957</v>
      </c>
      <c r="F29" s="277"/>
      <c r="G29" s="277"/>
      <c r="H29" s="277"/>
      <c r="I29" s="277"/>
      <c r="J29" s="277"/>
      <c r="K29" s="277">
        <f>+J29+E29</f>
        <v>1957</v>
      </c>
      <c r="L29" s="280"/>
      <c r="M29" s="280"/>
      <c r="N29" s="280"/>
      <c r="O29" s="280"/>
      <c r="P29" s="280">
        <f t="shared" si="9"/>
        <v>1957</v>
      </c>
      <c r="Q29" s="75"/>
      <c r="R29" s="75"/>
      <c r="S29" s="168"/>
      <c r="V29" s="75"/>
    </row>
    <row r="30" spans="1:22" ht="95.25" customHeight="1" x14ac:dyDescent="2">
      <c r="A30" s="352">
        <f t="shared" si="8"/>
        <v>23</v>
      </c>
      <c r="B30" s="353" t="s">
        <v>260</v>
      </c>
      <c r="C30" s="354" t="s">
        <v>250</v>
      </c>
      <c r="D30" s="355"/>
      <c r="E30" s="356">
        <v>1747</v>
      </c>
      <c r="F30" s="356"/>
      <c r="G30" s="356"/>
      <c r="H30" s="356"/>
      <c r="I30" s="356"/>
      <c r="J30" s="356"/>
      <c r="K30" s="356">
        <f t="shared" si="10"/>
        <v>1747</v>
      </c>
      <c r="L30" s="357"/>
      <c r="M30" s="357"/>
      <c r="N30" s="357"/>
      <c r="O30" s="357"/>
      <c r="P30" s="357">
        <f t="shared" si="9"/>
        <v>1747</v>
      </c>
      <c r="Q30" s="75"/>
      <c r="R30" s="75"/>
      <c r="S30" s="167"/>
      <c r="V30" s="75"/>
    </row>
    <row r="31" spans="1:22" s="275" customFormat="1" ht="112.5" customHeight="1" thickBot="1" x14ac:dyDescent="1.95">
      <c r="A31" s="480" t="s">
        <v>259</v>
      </c>
      <c r="B31" s="480"/>
      <c r="C31" s="481"/>
      <c r="D31" s="300"/>
      <c r="E31" s="288">
        <f>SUM(E15:E30)</f>
        <v>31655</v>
      </c>
      <c r="F31" s="288">
        <f>SUM(F15:F30)</f>
        <v>0</v>
      </c>
      <c r="G31" s="288">
        <f t="shared" ref="G31" si="11">SUM(G15:G30)</f>
        <v>0</v>
      </c>
      <c r="H31" s="288">
        <f>SUM(H15:H30)</f>
        <v>0</v>
      </c>
      <c r="I31" s="288"/>
      <c r="J31" s="288">
        <f>SUM(J15:J30)</f>
        <v>0</v>
      </c>
      <c r="K31" s="288">
        <f>SUM(K15:K30)</f>
        <v>31655</v>
      </c>
      <c r="L31" s="288">
        <f t="shared" ref="L31:M31" si="12">SUM(L15:L30)</f>
        <v>0</v>
      </c>
      <c r="M31" s="288">
        <f t="shared" si="12"/>
        <v>0</v>
      </c>
      <c r="N31" s="288">
        <f>SUM(N15:N30)</f>
        <v>0</v>
      </c>
      <c r="O31" s="288">
        <f t="shared" ref="O31" si="13">SUM(O15:O30)</f>
        <v>0</v>
      </c>
      <c r="P31" s="288">
        <f>SUM(P15:P30)</f>
        <v>31655</v>
      </c>
      <c r="Q31" s="274"/>
      <c r="R31" s="274"/>
    </row>
    <row r="32" spans="1:22" ht="110.25" customHeight="1" x14ac:dyDescent="2">
      <c r="A32" s="234">
        <f>+A30+1</f>
        <v>24</v>
      </c>
      <c r="B32" s="235" t="s">
        <v>251</v>
      </c>
      <c r="C32" s="236" t="s">
        <v>252</v>
      </c>
      <c r="D32" s="226"/>
      <c r="E32" s="276">
        <v>27000</v>
      </c>
      <c r="F32" s="276"/>
      <c r="G32" s="276"/>
      <c r="H32" s="276"/>
      <c r="I32" s="276"/>
      <c r="J32" s="276"/>
      <c r="K32" s="276">
        <f>SUM(E32:J32)</f>
        <v>27000</v>
      </c>
      <c r="L32" s="289">
        <v>27000</v>
      </c>
      <c r="M32" s="290"/>
      <c r="N32" s="290"/>
      <c r="O32" s="290"/>
      <c r="P32" s="290"/>
      <c r="Q32" s="75"/>
      <c r="R32" s="75"/>
      <c r="S32" s="167"/>
      <c r="V32" s="75"/>
    </row>
    <row r="33" spans="1:22" ht="110.25" customHeight="1" x14ac:dyDescent="2">
      <c r="A33" s="237">
        <f>+A32+1</f>
        <v>25</v>
      </c>
      <c r="B33" s="334" t="s">
        <v>353</v>
      </c>
      <c r="C33" s="225" t="s">
        <v>279</v>
      </c>
      <c r="D33" s="226"/>
      <c r="E33" s="289">
        <v>40000</v>
      </c>
      <c r="F33" s="276"/>
      <c r="G33" s="291"/>
      <c r="H33" s="276">
        <v>-40000</v>
      </c>
      <c r="I33" s="276"/>
      <c r="J33" s="276"/>
      <c r="K33" s="276">
        <f t="shared" ref="K33:K45" si="14">SUM(E33:J33)</f>
        <v>0</v>
      </c>
      <c r="L33" s="290"/>
      <c r="M33" s="292" t="s">
        <v>285</v>
      </c>
      <c r="N33" s="290"/>
      <c r="O33" s="280"/>
      <c r="P33" s="280"/>
      <c r="Q33" s="75"/>
      <c r="R33" s="81"/>
      <c r="S33" s="167"/>
      <c r="V33" s="75"/>
    </row>
    <row r="34" spans="1:22" ht="110.25" customHeight="1" x14ac:dyDescent="2">
      <c r="A34" s="237">
        <f t="shared" ref="A34:A44" si="15">+A33+1</f>
        <v>26</v>
      </c>
      <c r="B34" s="238" t="s">
        <v>293</v>
      </c>
      <c r="C34" s="218" t="s">
        <v>294</v>
      </c>
      <c r="D34" s="219"/>
      <c r="E34" s="279"/>
      <c r="F34" s="277"/>
      <c r="G34" s="277"/>
      <c r="H34" s="276"/>
      <c r="I34" s="276"/>
      <c r="J34" s="277"/>
      <c r="K34" s="276">
        <f t="shared" si="14"/>
        <v>0</v>
      </c>
      <c r="L34" s="280"/>
      <c r="M34" s="280"/>
      <c r="N34" s="280"/>
      <c r="O34" s="293"/>
      <c r="P34" s="293"/>
      <c r="Q34" s="75"/>
      <c r="R34" s="75"/>
      <c r="S34" s="167"/>
      <c r="V34" s="75"/>
    </row>
    <row r="35" spans="1:22" ht="110.25" customHeight="1" x14ac:dyDescent="2">
      <c r="A35" s="237">
        <f t="shared" si="15"/>
        <v>27</v>
      </c>
      <c r="B35" s="220" t="s">
        <v>332</v>
      </c>
      <c r="C35" s="218" t="s">
        <v>253</v>
      </c>
      <c r="D35" s="219"/>
      <c r="E35" s="279">
        <v>18150</v>
      </c>
      <c r="F35" s="277"/>
      <c r="G35" s="277"/>
      <c r="H35" s="276"/>
      <c r="I35" s="276"/>
      <c r="J35" s="277"/>
      <c r="K35" s="276">
        <f t="shared" si="14"/>
        <v>18150</v>
      </c>
      <c r="L35" s="280"/>
      <c r="M35" s="280"/>
      <c r="N35" s="280"/>
      <c r="O35" s="293">
        <f>+K35</f>
        <v>18150</v>
      </c>
      <c r="P35" s="293"/>
      <c r="Q35" s="75"/>
      <c r="R35" s="75"/>
      <c r="S35" s="167"/>
      <c r="V35" s="75"/>
    </row>
    <row r="36" spans="1:22" ht="110.25" customHeight="1" x14ac:dyDescent="2">
      <c r="A36" s="237">
        <f t="shared" si="15"/>
        <v>28</v>
      </c>
      <c r="B36" s="220" t="s">
        <v>254</v>
      </c>
      <c r="C36" s="218" t="s">
        <v>263</v>
      </c>
      <c r="D36" s="219"/>
      <c r="E36" s="293">
        <v>5324</v>
      </c>
      <c r="F36" s="280"/>
      <c r="G36" s="280"/>
      <c r="H36" s="290"/>
      <c r="I36" s="290"/>
      <c r="J36" s="280"/>
      <c r="K36" s="276">
        <f t="shared" si="14"/>
        <v>5324</v>
      </c>
      <c r="L36" s="280"/>
      <c r="M36" s="280"/>
      <c r="N36" s="280"/>
      <c r="O36" s="293">
        <f>+K36</f>
        <v>5324</v>
      </c>
      <c r="P36" s="293"/>
      <c r="Q36" s="75"/>
      <c r="R36" s="75"/>
      <c r="S36" s="167"/>
      <c r="V36" s="75"/>
    </row>
    <row r="37" spans="1:22" ht="110.25" customHeight="1" x14ac:dyDescent="2">
      <c r="A37" s="237">
        <f t="shared" si="15"/>
        <v>29</v>
      </c>
      <c r="B37" s="220" t="s">
        <v>6</v>
      </c>
      <c r="C37" s="218" t="s">
        <v>264</v>
      </c>
      <c r="D37" s="219"/>
      <c r="E37" s="293">
        <v>5324</v>
      </c>
      <c r="F37" s="280"/>
      <c r="G37" s="280"/>
      <c r="H37" s="290"/>
      <c r="I37" s="290"/>
      <c r="J37" s="280"/>
      <c r="K37" s="276">
        <f t="shared" si="14"/>
        <v>5324</v>
      </c>
      <c r="L37" s="280"/>
      <c r="M37" s="280"/>
      <c r="N37" s="280"/>
      <c r="O37" s="293">
        <f>+K37</f>
        <v>5324</v>
      </c>
      <c r="P37" s="293"/>
      <c r="Q37" s="75"/>
      <c r="R37" s="75"/>
      <c r="S37" s="167"/>
      <c r="V37" s="75"/>
    </row>
    <row r="38" spans="1:22" ht="110.25" customHeight="1" x14ac:dyDescent="2">
      <c r="A38" s="237">
        <f t="shared" si="15"/>
        <v>30</v>
      </c>
      <c r="B38" s="220" t="s">
        <v>333</v>
      </c>
      <c r="C38" s="218" t="s">
        <v>132</v>
      </c>
      <c r="D38" s="239"/>
      <c r="E38" s="294">
        <v>3800</v>
      </c>
      <c r="F38" s="294"/>
      <c r="G38" s="294"/>
      <c r="H38" s="295"/>
      <c r="I38" s="295"/>
      <c r="J38" s="294"/>
      <c r="K38" s="276">
        <f t="shared" si="14"/>
        <v>3800</v>
      </c>
      <c r="L38" s="294"/>
      <c r="M38" s="294"/>
      <c r="N38" s="294"/>
      <c r="O38" s="293">
        <v>3800</v>
      </c>
      <c r="P38" s="293"/>
      <c r="Q38" s="75"/>
      <c r="R38" s="75"/>
      <c r="S38" s="167"/>
      <c r="V38" s="75"/>
    </row>
    <row r="39" spans="1:22" ht="110.25" customHeight="1" x14ac:dyDescent="2">
      <c r="A39" s="237">
        <f t="shared" si="15"/>
        <v>31</v>
      </c>
      <c r="B39" s="220" t="s">
        <v>334</v>
      </c>
      <c r="C39" s="218" t="s">
        <v>132</v>
      </c>
      <c r="D39" s="239"/>
      <c r="E39" s="294">
        <v>7548</v>
      </c>
      <c r="F39" s="294"/>
      <c r="G39" s="294"/>
      <c r="H39" s="295"/>
      <c r="I39" s="295"/>
      <c r="J39" s="294"/>
      <c r="K39" s="276">
        <f t="shared" si="14"/>
        <v>7548</v>
      </c>
      <c r="L39" s="294"/>
      <c r="M39" s="294"/>
      <c r="N39" s="294"/>
      <c r="O39" s="279">
        <f>+K39</f>
        <v>7548</v>
      </c>
      <c r="P39" s="293"/>
      <c r="Q39" s="75"/>
      <c r="R39" s="75"/>
      <c r="S39" s="167"/>
      <c r="V39" s="75"/>
    </row>
    <row r="40" spans="1:22" ht="110.25" customHeight="1" x14ac:dyDescent="2">
      <c r="A40" s="237">
        <f t="shared" si="15"/>
        <v>32</v>
      </c>
      <c r="B40" s="220" t="s">
        <v>335</v>
      </c>
      <c r="C40" s="218" t="s">
        <v>132</v>
      </c>
      <c r="D40" s="239"/>
      <c r="E40" s="294">
        <v>4888</v>
      </c>
      <c r="F40" s="294"/>
      <c r="G40" s="294"/>
      <c r="H40" s="295"/>
      <c r="I40" s="295"/>
      <c r="J40" s="294"/>
      <c r="K40" s="276">
        <v>0</v>
      </c>
      <c r="L40" s="294"/>
      <c r="M40" s="294"/>
      <c r="N40" s="294"/>
      <c r="O40" s="366" t="s">
        <v>395</v>
      </c>
      <c r="P40" s="293"/>
      <c r="Q40" s="75"/>
      <c r="R40" s="75"/>
      <c r="S40" s="167"/>
      <c r="V40" s="75"/>
    </row>
    <row r="41" spans="1:22" ht="110.25" customHeight="1" x14ac:dyDescent="2">
      <c r="A41" s="237">
        <f t="shared" si="15"/>
        <v>33</v>
      </c>
      <c r="B41" s="220" t="s">
        <v>336</v>
      </c>
      <c r="C41" s="218" t="s">
        <v>132</v>
      </c>
      <c r="D41" s="239"/>
      <c r="E41" s="294">
        <v>7456</v>
      </c>
      <c r="F41" s="294"/>
      <c r="G41" s="294"/>
      <c r="H41" s="295"/>
      <c r="I41" s="295"/>
      <c r="J41" s="294"/>
      <c r="K41" s="276">
        <f t="shared" si="14"/>
        <v>7456</v>
      </c>
      <c r="L41" s="294"/>
      <c r="M41" s="294"/>
      <c r="N41" s="294"/>
      <c r="O41" s="279">
        <f t="shared" ref="O41:O42" si="16">+K41</f>
        <v>7456</v>
      </c>
      <c r="P41" s="293"/>
      <c r="Q41" s="75"/>
      <c r="R41" s="75"/>
      <c r="S41" s="167"/>
      <c r="V41" s="75"/>
    </row>
    <row r="42" spans="1:22" ht="110.25" customHeight="1" x14ac:dyDescent="2">
      <c r="A42" s="237">
        <f t="shared" si="15"/>
        <v>34</v>
      </c>
      <c r="B42" s="220" t="s">
        <v>150</v>
      </c>
      <c r="C42" s="218" t="s">
        <v>89</v>
      </c>
      <c r="D42" s="239"/>
      <c r="E42" s="294">
        <v>6000</v>
      </c>
      <c r="F42" s="294"/>
      <c r="G42" s="294"/>
      <c r="H42" s="276">
        <v>12000</v>
      </c>
      <c r="I42" s="295"/>
      <c r="J42" s="294"/>
      <c r="K42" s="276">
        <f t="shared" si="14"/>
        <v>18000</v>
      </c>
      <c r="L42" s="294"/>
      <c r="M42" s="294"/>
      <c r="N42" s="294"/>
      <c r="O42" s="279">
        <f t="shared" si="16"/>
        <v>18000</v>
      </c>
      <c r="P42" s="293"/>
      <c r="Q42" s="75"/>
      <c r="R42" s="75"/>
      <c r="S42" s="167"/>
      <c r="V42" s="75"/>
    </row>
    <row r="43" spans="1:22" ht="110.25" customHeight="1" x14ac:dyDescent="2">
      <c r="A43" s="237">
        <f t="shared" si="15"/>
        <v>35</v>
      </c>
      <c r="B43" s="220" t="s">
        <v>189</v>
      </c>
      <c r="C43" s="218" t="s">
        <v>187</v>
      </c>
      <c r="D43" s="239"/>
      <c r="E43" s="294">
        <v>400</v>
      </c>
      <c r="F43" s="294"/>
      <c r="G43" s="294"/>
      <c r="H43" s="276">
        <v>-400</v>
      </c>
      <c r="I43" s="294"/>
      <c r="J43" s="294"/>
      <c r="K43" s="276">
        <f t="shared" si="14"/>
        <v>0</v>
      </c>
      <c r="L43" s="294"/>
      <c r="M43" s="294"/>
      <c r="N43" s="294"/>
      <c r="O43" s="292" t="s">
        <v>285</v>
      </c>
      <c r="P43" s="293"/>
      <c r="Q43" s="75"/>
      <c r="R43" s="75"/>
      <c r="S43" s="167"/>
      <c r="V43" s="75"/>
    </row>
    <row r="44" spans="1:22" ht="110.25" customHeight="1" x14ac:dyDescent="2">
      <c r="A44" s="237">
        <f t="shared" si="15"/>
        <v>36</v>
      </c>
      <c r="B44" s="220" t="s">
        <v>192</v>
      </c>
      <c r="C44" s="218" t="s">
        <v>190</v>
      </c>
      <c r="D44" s="239"/>
      <c r="E44" s="294">
        <v>1500</v>
      </c>
      <c r="F44" s="294"/>
      <c r="G44" s="294"/>
      <c r="H44" s="276">
        <v>3000</v>
      </c>
      <c r="I44" s="294"/>
      <c r="J44" s="294"/>
      <c r="K44" s="276">
        <f t="shared" si="14"/>
        <v>4500</v>
      </c>
      <c r="L44" s="294"/>
      <c r="M44" s="294"/>
      <c r="N44" s="294"/>
      <c r="O44" s="294">
        <f>+K44</f>
        <v>4500</v>
      </c>
      <c r="P44" s="293"/>
      <c r="Q44" s="75"/>
      <c r="R44" s="75"/>
      <c r="S44" s="167"/>
      <c r="V44" s="75"/>
    </row>
    <row r="45" spans="1:22" ht="110.25" customHeight="1" x14ac:dyDescent="2">
      <c r="A45" s="237">
        <f>+A44+1</f>
        <v>37</v>
      </c>
      <c r="B45" s="220" t="s">
        <v>152</v>
      </c>
      <c r="C45" s="218" t="s">
        <v>168</v>
      </c>
      <c r="D45" s="239"/>
      <c r="E45" s="294">
        <v>600</v>
      </c>
      <c r="F45" s="294"/>
      <c r="G45" s="294"/>
      <c r="H45" s="276">
        <v>1200</v>
      </c>
      <c r="I45" s="294"/>
      <c r="J45" s="294"/>
      <c r="K45" s="276">
        <f t="shared" si="14"/>
        <v>1800</v>
      </c>
      <c r="L45" s="294"/>
      <c r="M45" s="294"/>
      <c r="N45" s="294"/>
      <c r="O45" s="294">
        <f>+K45</f>
        <v>1800</v>
      </c>
      <c r="P45" s="293"/>
      <c r="Q45" s="75"/>
      <c r="R45" s="75"/>
      <c r="S45" s="167"/>
      <c r="V45" s="75"/>
    </row>
    <row r="46" spans="1:22" s="259" customFormat="1" ht="110.25" customHeight="1" thickBot="1" x14ac:dyDescent="1.95">
      <c r="A46" s="482" t="s">
        <v>255</v>
      </c>
      <c r="B46" s="483"/>
      <c r="C46" s="483"/>
      <c r="D46" s="257"/>
      <c r="E46" s="296">
        <f>SUM(E32:E45)</f>
        <v>127990</v>
      </c>
      <c r="F46" s="296">
        <f>SUM(F32:F45)</f>
        <v>0</v>
      </c>
      <c r="G46" s="296">
        <f>SUM(G32:G45)</f>
        <v>0</v>
      </c>
      <c r="H46" s="296">
        <f>SUM(H32:H45)</f>
        <v>-24200</v>
      </c>
      <c r="I46" s="296"/>
      <c r="J46" s="296">
        <f t="shared" ref="J46:P46" si="17">SUM(J32:J45)</f>
        <v>0</v>
      </c>
      <c r="K46" s="296">
        <f t="shared" si="17"/>
        <v>98902</v>
      </c>
      <c r="L46" s="296">
        <f t="shared" si="17"/>
        <v>27000</v>
      </c>
      <c r="M46" s="297">
        <f t="shared" si="17"/>
        <v>0</v>
      </c>
      <c r="N46" s="297">
        <f t="shared" si="17"/>
        <v>0</v>
      </c>
      <c r="O46" s="297">
        <f t="shared" si="17"/>
        <v>71902</v>
      </c>
      <c r="P46" s="297">
        <f t="shared" si="17"/>
        <v>0</v>
      </c>
      <c r="Q46" s="258"/>
    </row>
    <row r="47" spans="1:22" s="275" customFormat="1" ht="110.25" customHeight="1" thickBot="1" x14ac:dyDescent="1.95">
      <c r="A47" s="485" t="s">
        <v>22</v>
      </c>
      <c r="B47" s="486"/>
      <c r="C47" s="486"/>
      <c r="D47" s="271"/>
      <c r="E47" s="335">
        <f t="shared" ref="E47:P47" si="18">+E46+E31+E14+E12</f>
        <v>298965</v>
      </c>
      <c r="F47" s="272">
        <f t="shared" si="18"/>
        <v>0</v>
      </c>
      <c r="G47" s="272">
        <f t="shared" si="18"/>
        <v>0</v>
      </c>
      <c r="H47" s="272">
        <f t="shared" si="18"/>
        <v>-24200</v>
      </c>
      <c r="I47" s="272">
        <f t="shared" si="18"/>
        <v>0</v>
      </c>
      <c r="J47" s="272">
        <f t="shared" si="18"/>
        <v>0</v>
      </c>
      <c r="K47" s="338">
        <f t="shared" si="18"/>
        <v>263377</v>
      </c>
      <c r="L47" s="272">
        <f t="shared" si="18"/>
        <v>27000</v>
      </c>
      <c r="M47" s="272">
        <f t="shared" si="18"/>
        <v>86620</v>
      </c>
      <c r="N47" s="272">
        <f t="shared" si="18"/>
        <v>46200</v>
      </c>
      <c r="O47" s="273">
        <f t="shared" si="18"/>
        <v>71902</v>
      </c>
      <c r="P47" s="273">
        <f t="shared" si="18"/>
        <v>31655</v>
      </c>
      <c r="Q47" s="274"/>
      <c r="R47" s="274"/>
    </row>
    <row r="48" spans="1:22" s="82" customFormat="1" ht="26.25" customHeight="1" thickTop="1" x14ac:dyDescent="2">
      <c r="C48" s="83"/>
      <c r="D48" s="83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V48" s="167"/>
    </row>
    <row r="49" spans="1:26" s="82" customFormat="1" ht="89.25" hidden="1" customHeight="1" x14ac:dyDescent="1.75">
      <c r="B49" s="487"/>
      <c r="C49" s="487"/>
      <c r="D49" s="487"/>
      <c r="E49" s="487"/>
      <c r="F49" s="487"/>
      <c r="G49" s="86"/>
      <c r="H49" s="84"/>
      <c r="I49" s="84"/>
      <c r="J49" s="84"/>
      <c r="K49" s="488" t="s">
        <v>322</v>
      </c>
      <c r="L49" s="488"/>
      <c r="M49" s="488"/>
      <c r="N49" s="488"/>
      <c r="O49" s="488"/>
      <c r="P49" s="488"/>
      <c r="Q49" s="189"/>
      <c r="R49" s="189"/>
      <c r="S49" s="189"/>
      <c r="T49" s="189"/>
    </row>
    <row r="50" spans="1:26" s="82" customFormat="1" ht="119.25" hidden="1" customHeight="1" x14ac:dyDescent="1.85">
      <c r="B50" s="196"/>
      <c r="C50" s="183"/>
      <c r="E50" s="489"/>
      <c r="F50" s="489"/>
      <c r="H50" s="86"/>
      <c r="I50" s="86"/>
      <c r="L50" s="179" t="s">
        <v>325</v>
      </c>
      <c r="M50" s="195" t="str">
        <f>+M5</f>
        <v xml:space="preserve">กสิกร 119-3-21759-8 </v>
      </c>
      <c r="N50" s="180" t="str">
        <f>+N5</f>
        <v xml:space="preserve">กสิกร 119-3-21471-8  </v>
      </c>
      <c r="O50" s="180" t="str">
        <f>+O5</f>
        <v>SCB 611-281075-3</v>
      </c>
      <c r="P50" s="180" t="str">
        <f>+P5</f>
        <v>SCB 611-261071-1</v>
      </c>
      <c r="Q50" s="187" t="s">
        <v>28</v>
      </c>
      <c r="S50" s="85"/>
    </row>
    <row r="51" spans="1:26" s="82" customFormat="1" ht="119.25" hidden="1" customHeight="1" x14ac:dyDescent="1.85">
      <c r="B51" s="196"/>
      <c r="C51" s="183"/>
      <c r="E51" s="489"/>
      <c r="F51" s="489"/>
      <c r="G51" s="240"/>
      <c r="H51" s="90" t="s">
        <v>256</v>
      </c>
      <c r="I51" s="90"/>
      <c r="L51" s="170">
        <v>311114.19</v>
      </c>
      <c r="M51" s="170">
        <v>891.10000000000582</v>
      </c>
      <c r="N51" s="170">
        <v>488.62000000000262</v>
      </c>
      <c r="O51" s="170">
        <v>536.72000000000116</v>
      </c>
      <c r="P51" s="170">
        <v>500</v>
      </c>
      <c r="Q51" s="172">
        <f>SUM(L51:P51)</f>
        <v>313530.63</v>
      </c>
      <c r="S51" s="87"/>
    </row>
    <row r="52" spans="1:26" s="82" customFormat="1" ht="119.25" hidden="1" customHeight="1" x14ac:dyDescent="1.85">
      <c r="B52" s="196"/>
      <c r="C52" s="183"/>
      <c r="E52" s="490"/>
      <c r="F52" s="490"/>
      <c r="G52" s="240"/>
      <c r="H52" s="90" t="s">
        <v>319</v>
      </c>
      <c r="I52" s="90"/>
      <c r="L52" s="173">
        <v>27000</v>
      </c>
      <c r="M52" s="173">
        <f>+M47</f>
        <v>86620</v>
      </c>
      <c r="N52" s="174">
        <f>+N47</f>
        <v>46200</v>
      </c>
      <c r="O52" s="174">
        <f>+O47</f>
        <v>71902</v>
      </c>
      <c r="P52" s="174">
        <f>+P47</f>
        <v>31655</v>
      </c>
      <c r="Q52" s="181">
        <f>SUM(L52:P52)</f>
        <v>263377</v>
      </c>
      <c r="S52" s="85"/>
    </row>
    <row r="53" spans="1:26" s="82" customFormat="1" ht="119.25" hidden="1" customHeight="1" x14ac:dyDescent="1.85">
      <c r="B53" s="196"/>
      <c r="C53" s="183"/>
      <c r="E53" s="490"/>
      <c r="F53" s="490"/>
      <c r="G53" s="240"/>
      <c r="H53" s="90" t="s">
        <v>320</v>
      </c>
      <c r="I53" s="90"/>
      <c r="L53" s="176">
        <f>+L51-L52</f>
        <v>284114.19</v>
      </c>
      <c r="M53" s="176">
        <f>SUM(M52:M52)</f>
        <v>86620</v>
      </c>
      <c r="N53" s="176">
        <f>SUM(N52:N52)</f>
        <v>46200</v>
      </c>
      <c r="O53" s="176">
        <f>SUM(O52:O52)</f>
        <v>71902</v>
      </c>
      <c r="P53" s="176">
        <f>SUM(P52:P52)</f>
        <v>31655</v>
      </c>
      <c r="Q53" s="177">
        <f>SUM(L53:P53)</f>
        <v>520491.19</v>
      </c>
      <c r="S53" s="85"/>
    </row>
    <row r="54" spans="1:26" s="82" customFormat="1" ht="106.5" hidden="1" customHeight="1" x14ac:dyDescent="1.9">
      <c r="B54" s="206"/>
      <c r="C54" s="183"/>
      <c r="E54" s="491"/>
      <c r="F54" s="491"/>
      <c r="G54" s="240"/>
      <c r="H54" s="90" t="s">
        <v>321</v>
      </c>
      <c r="I54" s="90"/>
      <c r="L54" s="175"/>
      <c r="M54" s="175">
        <f>+M52</f>
        <v>86620</v>
      </c>
      <c r="N54" s="175">
        <f>+N52</f>
        <v>46200</v>
      </c>
      <c r="O54" s="175">
        <f>+O52</f>
        <v>71902</v>
      </c>
      <c r="P54" s="175">
        <f>+P52</f>
        <v>31655</v>
      </c>
      <c r="Q54" s="178">
        <f>SUM(M54:P54)</f>
        <v>236377</v>
      </c>
    </row>
    <row r="55" spans="1:26" s="82" customFormat="1" ht="109.5" hidden="1" customHeight="1" thickBot="1" x14ac:dyDescent="1.95">
      <c r="A55" s="88"/>
      <c r="B55" s="196"/>
      <c r="C55" s="183"/>
      <c r="E55" s="490"/>
      <c r="F55" s="490"/>
      <c r="G55" s="240"/>
      <c r="H55" s="182" t="s">
        <v>257</v>
      </c>
      <c r="I55" s="182"/>
      <c r="L55" s="190">
        <f t="shared" ref="L55:P55" si="19">+L51+L52-L54</f>
        <v>338114.19</v>
      </c>
      <c r="M55" s="190">
        <f t="shared" si="19"/>
        <v>891.10000000000582</v>
      </c>
      <c r="N55" s="190">
        <f t="shared" si="19"/>
        <v>488.62000000000262</v>
      </c>
      <c r="O55" s="190">
        <f t="shared" si="19"/>
        <v>536.72000000000116</v>
      </c>
      <c r="P55" s="190">
        <f t="shared" si="19"/>
        <v>500</v>
      </c>
      <c r="Q55" s="190">
        <f>+Q51+Q52-Q54</f>
        <v>340530.63</v>
      </c>
      <c r="R55" s="85">
        <f>+L55+M55+N55+O55+P55-Q55</f>
        <v>0</v>
      </c>
      <c r="S55" s="89"/>
    </row>
    <row r="56" spans="1:26" s="82" customFormat="1" ht="93.75" hidden="1" x14ac:dyDescent="1.9">
      <c r="A56" s="88"/>
      <c r="B56" s="196"/>
      <c r="C56" s="183"/>
      <c r="E56" s="490"/>
      <c r="F56" s="490"/>
      <c r="G56" s="240"/>
      <c r="H56" s="182"/>
      <c r="I56" s="182"/>
      <c r="K56" s="205"/>
      <c r="L56" s="205"/>
      <c r="M56" s="205"/>
      <c r="N56" s="205"/>
      <c r="O56" s="205"/>
      <c r="P56" s="205"/>
      <c r="R56" s="89"/>
    </row>
    <row r="57" spans="1:26" s="82" customFormat="1" hidden="1" x14ac:dyDescent="2">
      <c r="A57" s="75"/>
      <c r="B57" s="197"/>
      <c r="C57" s="183"/>
      <c r="E57" s="492"/>
      <c r="F57" s="492"/>
      <c r="G57" s="76"/>
      <c r="J57" s="77"/>
      <c r="K57" s="77"/>
      <c r="L57" s="171"/>
      <c r="M57" s="171"/>
      <c r="N57" s="171"/>
      <c r="O57" s="77"/>
      <c r="P57" s="77"/>
      <c r="Q57" s="77"/>
      <c r="R57" s="77"/>
      <c r="S57" s="77"/>
      <c r="T57" s="75"/>
      <c r="U57" s="169"/>
      <c r="V57" s="75"/>
    </row>
    <row r="58" spans="1:26" ht="117.75" hidden="1" customHeight="1" x14ac:dyDescent="2">
      <c r="C58" s="484"/>
      <c r="D58" s="484"/>
      <c r="E58" s="76"/>
      <c r="F58" s="76"/>
      <c r="G58" s="76"/>
      <c r="V58" s="169"/>
    </row>
    <row r="59" spans="1:26" ht="117.75" hidden="1" customHeight="1" x14ac:dyDescent="2">
      <c r="C59" s="78"/>
      <c r="E59" s="76"/>
      <c r="F59" s="76"/>
      <c r="G59" s="76"/>
      <c r="K59" s="77">
        <f>+L55-338114.19</f>
        <v>0</v>
      </c>
      <c r="N59" s="77">
        <f>+O55-536.72</f>
        <v>1.1368683772161603E-12</v>
      </c>
      <c r="O59" s="77">
        <f>+P55-500</f>
        <v>0</v>
      </c>
    </row>
    <row r="60" spans="1:26" hidden="1" x14ac:dyDescent="2">
      <c r="E60" s="76"/>
      <c r="F60" s="76"/>
      <c r="G60" s="76"/>
    </row>
    <row r="61" spans="1:26" x14ac:dyDescent="2">
      <c r="E61" s="76"/>
      <c r="F61" s="76"/>
      <c r="G61" s="76"/>
    </row>
    <row r="62" spans="1:26" x14ac:dyDescent="2">
      <c r="K62" s="79"/>
    </row>
    <row r="63" spans="1:26" s="77" customFormat="1" x14ac:dyDescent="2">
      <c r="A63" s="75"/>
      <c r="B63" s="75"/>
      <c r="C63" s="80"/>
      <c r="D63" s="80"/>
      <c r="T63" s="75"/>
      <c r="U63" s="75"/>
      <c r="V63" s="167"/>
      <c r="W63" s="75"/>
      <c r="X63" s="75"/>
      <c r="Y63" s="75"/>
      <c r="Z63" s="75"/>
    </row>
  </sheetData>
  <mergeCells count="24">
    <mergeCell ref="C58:D58"/>
    <mergeCell ref="E52:F52"/>
    <mergeCell ref="E53:F53"/>
    <mergeCell ref="E54:F54"/>
    <mergeCell ref="E55:F55"/>
    <mergeCell ref="E56:F56"/>
    <mergeCell ref="E57:F57"/>
    <mergeCell ref="E51:F51"/>
    <mergeCell ref="A12:C12"/>
    <mergeCell ref="A14:C14"/>
    <mergeCell ref="E23:K23"/>
    <mergeCell ref="A31:C31"/>
    <mergeCell ref="E20:K20"/>
    <mergeCell ref="A46:C46"/>
    <mergeCell ref="A47:C47"/>
    <mergeCell ref="B49:F49"/>
    <mergeCell ref="K49:P49"/>
    <mergeCell ref="E50:F50"/>
    <mergeCell ref="A1:P1"/>
    <mergeCell ref="A2:P2"/>
    <mergeCell ref="A4:A5"/>
    <mergeCell ref="B4:B5"/>
    <mergeCell ref="C4:C5"/>
    <mergeCell ref="E4:K4"/>
  </mergeCells>
  <pageMargins left="0.15748031496062992" right="3.937007874015748E-2" top="0.19" bottom="0.17" header="0.15748031496062992" footer="0.17"/>
  <pageSetup paperSize="5" scale="20" orientation="landscape" verticalDpi="0" r:id="rId1"/>
  <rowBreaks count="2" manualBreakCount="2">
    <brk id="58" max="17" man="1"/>
    <brk id="59" max="1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8B53-0F8F-4C2E-AE6B-9EBB1D4A078D}">
  <dimension ref="A1:Z63"/>
  <sheetViews>
    <sheetView zoomScale="20" zoomScaleNormal="20" zoomScaleSheetLayoutView="20" workbookViewId="0">
      <pane xSplit="2" ySplit="5" topLeftCell="C27" activePane="bottomRight" state="frozen"/>
      <selection pane="topRight" activeCell="C1" sqref="C1"/>
      <selection pane="bottomLeft" activeCell="A7" sqref="A7"/>
      <selection pane="bottomRight" activeCell="G26" sqref="G26"/>
    </sheetView>
  </sheetViews>
  <sheetFormatPr defaultColWidth="8.75" defaultRowHeight="102" x14ac:dyDescent="2"/>
  <cols>
    <col min="1" max="1" width="9.125" style="75" bestFit="1" customWidth="1"/>
    <col min="2" max="2" width="143.875" style="75" customWidth="1"/>
    <col min="3" max="3" width="46" style="80" customWidth="1"/>
    <col min="4" max="4" width="50.625" style="80" customWidth="1"/>
    <col min="5" max="5" width="45.75" style="77" bestFit="1" customWidth="1"/>
    <col min="6" max="6" width="39.375" style="77" hidden="1" customWidth="1"/>
    <col min="7" max="7" width="47" style="77" customWidth="1"/>
    <col min="8" max="8" width="52.25" style="77" customWidth="1"/>
    <col min="9" max="9" width="48.5" style="77" hidden="1" customWidth="1"/>
    <col min="10" max="10" width="43" style="77" customWidth="1"/>
    <col min="11" max="11" width="52" style="77" customWidth="1"/>
    <col min="12" max="12" width="58.75" style="77" customWidth="1"/>
    <col min="13" max="13" width="65.75" style="77" customWidth="1"/>
    <col min="14" max="14" width="64.25" style="77" customWidth="1"/>
    <col min="15" max="15" width="74.5" style="77" customWidth="1"/>
    <col min="16" max="16" width="68.625" style="77" customWidth="1"/>
    <col min="17" max="17" width="71.75" style="77" bestFit="1" customWidth="1"/>
    <col min="18" max="18" width="64.75" style="77" customWidth="1"/>
    <col min="19" max="19" width="65" style="77" customWidth="1"/>
    <col min="20" max="20" width="47.125" style="75" bestFit="1" customWidth="1"/>
    <col min="21" max="21" width="30.75" style="75" bestFit="1" customWidth="1"/>
    <col min="22" max="22" width="43.125" style="167" customWidth="1"/>
    <col min="23" max="16384" width="8.75" style="75"/>
  </cols>
  <sheetData>
    <row r="1" spans="1:22" ht="85.5" customHeight="1" x14ac:dyDescent="2">
      <c r="A1" s="462" t="s">
        <v>238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192"/>
      <c r="R1" s="192"/>
      <c r="S1" s="192"/>
      <c r="T1" s="192"/>
    </row>
    <row r="2" spans="1:22" s="184" customFormat="1" ht="78" customHeight="1" x14ac:dyDescent="0.2">
      <c r="A2" s="463" t="s">
        <v>404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202"/>
      <c r="R2" s="202"/>
      <c r="S2" s="202"/>
      <c r="T2" s="202"/>
      <c r="V2" s="185"/>
    </row>
    <row r="3" spans="1:22" ht="18" customHeight="1" x14ac:dyDescent="2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</row>
    <row r="4" spans="1:22" s="199" customFormat="1" ht="89.25" customHeight="1" x14ac:dyDescent="1.45">
      <c r="A4" s="464" t="s">
        <v>0</v>
      </c>
      <c r="B4" s="464" t="s">
        <v>239</v>
      </c>
      <c r="C4" s="493" t="s">
        <v>9</v>
      </c>
      <c r="D4" s="198"/>
      <c r="E4" s="495" t="s">
        <v>316</v>
      </c>
      <c r="F4" s="496"/>
      <c r="G4" s="496"/>
      <c r="H4" s="496"/>
      <c r="I4" s="496"/>
      <c r="J4" s="496"/>
      <c r="K4" s="497"/>
      <c r="L4" s="260" t="s">
        <v>240</v>
      </c>
      <c r="M4" s="261" t="s">
        <v>241</v>
      </c>
      <c r="N4" s="260" t="s">
        <v>295</v>
      </c>
      <c r="O4" s="262" t="s">
        <v>301</v>
      </c>
      <c r="P4" s="262" t="s">
        <v>303</v>
      </c>
    </row>
    <row r="5" spans="1:22" s="199" customFormat="1" ht="78.75" x14ac:dyDescent="1.45">
      <c r="A5" s="465"/>
      <c r="B5" s="465"/>
      <c r="C5" s="494"/>
      <c r="D5" s="200"/>
      <c r="E5" s="333" t="s">
        <v>8</v>
      </c>
      <c r="F5" s="201" t="s">
        <v>324</v>
      </c>
      <c r="G5" s="209" t="s">
        <v>330</v>
      </c>
      <c r="H5" s="208" t="s">
        <v>285</v>
      </c>
      <c r="I5" s="204" t="s">
        <v>360</v>
      </c>
      <c r="J5" s="204" t="s">
        <v>359</v>
      </c>
      <c r="K5" s="333" t="s">
        <v>323</v>
      </c>
      <c r="L5" s="263" t="s">
        <v>325</v>
      </c>
      <c r="M5" s="264" t="s">
        <v>242</v>
      </c>
      <c r="N5" s="263" t="s">
        <v>243</v>
      </c>
      <c r="O5" s="265" t="s">
        <v>312</v>
      </c>
      <c r="P5" s="265" t="s">
        <v>313</v>
      </c>
    </row>
    <row r="6" spans="1:22" s="188" customFormat="1" ht="98.25" customHeight="1" x14ac:dyDescent="1.85">
      <c r="A6" s="210">
        <v>1</v>
      </c>
      <c r="B6" s="342" t="s">
        <v>361</v>
      </c>
      <c r="C6" s="211" t="s">
        <v>244</v>
      </c>
      <c r="D6" s="212"/>
      <c r="E6" s="277">
        <v>6500</v>
      </c>
      <c r="F6" s="277"/>
      <c r="G6" s="277"/>
      <c r="H6" s="277"/>
      <c r="I6" s="277"/>
      <c r="J6" s="277"/>
      <c r="K6" s="279">
        <f>SUM(E6:J6)</f>
        <v>6500</v>
      </c>
      <c r="L6" s="278"/>
      <c r="M6" s="278">
        <v>6500</v>
      </c>
      <c r="N6" s="278"/>
      <c r="O6" s="278"/>
      <c r="P6" s="278"/>
    </row>
    <row r="7" spans="1:22" s="188" customFormat="1" ht="98.25" customHeight="1" x14ac:dyDescent="1.85">
      <c r="A7" s="213">
        <v>2</v>
      </c>
      <c r="B7" s="214" t="s">
        <v>343</v>
      </c>
      <c r="C7" s="215" t="s">
        <v>245</v>
      </c>
      <c r="D7" s="216"/>
      <c r="E7" s="277">
        <v>46200</v>
      </c>
      <c r="F7" s="277"/>
      <c r="G7" s="277"/>
      <c r="H7" s="277"/>
      <c r="I7" s="277"/>
      <c r="J7" s="277"/>
      <c r="K7" s="279">
        <f>SUM(E7:J7)</f>
        <v>46200</v>
      </c>
      <c r="L7" s="280"/>
      <c r="M7" s="280"/>
      <c r="N7" s="280">
        <v>46200</v>
      </c>
      <c r="O7" s="280"/>
      <c r="P7" s="280"/>
    </row>
    <row r="8" spans="1:22" s="188" customFormat="1" ht="98.25" customHeight="1" x14ac:dyDescent="1.85">
      <c r="A8" s="213">
        <f>+A7+1</f>
        <v>3</v>
      </c>
      <c r="B8" s="217" t="s">
        <v>290</v>
      </c>
      <c r="C8" s="218" t="s">
        <v>4</v>
      </c>
      <c r="D8" s="219"/>
      <c r="E8" s="277">
        <v>10648</v>
      </c>
      <c r="F8" s="277"/>
      <c r="G8" s="277"/>
      <c r="H8" s="277"/>
      <c r="I8" s="277"/>
      <c r="J8" s="277"/>
      <c r="K8" s="279">
        <f t="shared" ref="K8:K11" si="0">SUM(E8:J8)</f>
        <v>10648</v>
      </c>
      <c r="L8" s="280"/>
      <c r="M8" s="279">
        <f>+K8</f>
        <v>10648</v>
      </c>
      <c r="N8" s="280"/>
      <c r="O8" s="280"/>
      <c r="P8" s="280"/>
    </row>
    <row r="9" spans="1:22" s="188" customFormat="1" ht="98.25" customHeight="1" x14ac:dyDescent="1.85">
      <c r="A9" s="213">
        <f t="shared" ref="A9:A11" si="1">+A8+1</f>
        <v>4</v>
      </c>
      <c r="B9" s="220" t="s">
        <v>3</v>
      </c>
      <c r="C9" s="218" t="s">
        <v>164</v>
      </c>
      <c r="D9" s="219"/>
      <c r="E9" s="277">
        <v>7986</v>
      </c>
      <c r="F9" s="277"/>
      <c r="G9" s="277"/>
      <c r="H9" s="277"/>
      <c r="I9" s="277"/>
      <c r="J9" s="277"/>
      <c r="K9" s="279">
        <f t="shared" si="0"/>
        <v>7986</v>
      </c>
      <c r="L9" s="280"/>
      <c r="M9" s="279">
        <f>+K9</f>
        <v>7986</v>
      </c>
      <c r="N9" s="280"/>
      <c r="O9" s="280"/>
      <c r="P9" s="280"/>
    </row>
    <row r="10" spans="1:22" s="188" customFormat="1" ht="98.25" customHeight="1" x14ac:dyDescent="1.85">
      <c r="A10" s="213">
        <f t="shared" si="1"/>
        <v>5</v>
      </c>
      <c r="B10" s="220" t="s">
        <v>10</v>
      </c>
      <c r="C10" s="218" t="s">
        <v>246</v>
      </c>
      <c r="D10" s="219"/>
      <c r="E10" s="277">
        <v>7986</v>
      </c>
      <c r="F10" s="277"/>
      <c r="G10" s="277"/>
      <c r="H10" s="277"/>
      <c r="I10" s="277"/>
      <c r="J10" s="277"/>
      <c r="K10" s="279">
        <f t="shared" si="0"/>
        <v>7986</v>
      </c>
      <c r="L10" s="280"/>
      <c r="M10" s="280">
        <f>+K10</f>
        <v>7986</v>
      </c>
      <c r="N10" s="280"/>
      <c r="O10" s="280"/>
      <c r="P10" s="280"/>
    </row>
    <row r="11" spans="1:22" s="188" customFormat="1" ht="98.25" customHeight="1" x14ac:dyDescent="1.85">
      <c r="A11" s="213">
        <f t="shared" si="1"/>
        <v>6</v>
      </c>
      <c r="B11" s="221" t="s">
        <v>247</v>
      </c>
      <c r="C11" s="222" t="s">
        <v>248</v>
      </c>
      <c r="D11" s="223"/>
      <c r="E11" s="281">
        <v>60000</v>
      </c>
      <c r="F11" s="281"/>
      <c r="G11" s="281"/>
      <c r="H11" s="281"/>
      <c r="I11" s="281"/>
      <c r="J11" s="281"/>
      <c r="K11" s="279">
        <f t="shared" si="0"/>
        <v>60000</v>
      </c>
      <c r="L11" s="282"/>
      <c r="M11" s="282">
        <f>+K11</f>
        <v>60000</v>
      </c>
      <c r="N11" s="282"/>
      <c r="O11" s="282"/>
      <c r="P11" s="282"/>
    </row>
    <row r="12" spans="1:22" s="275" customFormat="1" ht="111.75" customHeight="1" thickBot="1" x14ac:dyDescent="1.95">
      <c r="A12" s="473" t="s">
        <v>249</v>
      </c>
      <c r="B12" s="473"/>
      <c r="C12" s="474"/>
      <c r="D12" s="299"/>
      <c r="E12" s="283">
        <f>SUM(E6:E11)</f>
        <v>139320</v>
      </c>
      <c r="F12" s="283">
        <f t="shared" ref="F12:I12" si="2">SUM(F6:F11)</f>
        <v>0</v>
      </c>
      <c r="G12" s="283">
        <f t="shared" si="2"/>
        <v>0</v>
      </c>
      <c r="H12" s="283">
        <f t="shared" si="2"/>
        <v>0</v>
      </c>
      <c r="I12" s="283">
        <f t="shared" si="2"/>
        <v>0</v>
      </c>
      <c r="J12" s="283">
        <f>SUM(J6:J11)</f>
        <v>0</v>
      </c>
      <c r="K12" s="283">
        <f>SUM(K6:K11)</f>
        <v>139320</v>
      </c>
      <c r="L12" s="283">
        <f t="shared" ref="L12:P12" si="3">SUM(L6:L11)</f>
        <v>0</v>
      </c>
      <c r="M12" s="283">
        <f>SUM(M6:M11)</f>
        <v>93120</v>
      </c>
      <c r="N12" s="283">
        <f t="shared" si="3"/>
        <v>46200</v>
      </c>
      <c r="O12" s="283">
        <f t="shared" si="3"/>
        <v>0</v>
      </c>
      <c r="P12" s="283">
        <f t="shared" si="3"/>
        <v>0</v>
      </c>
      <c r="Q12" s="274"/>
      <c r="R12" s="274"/>
    </row>
    <row r="13" spans="1:22" ht="111.75" customHeight="1" x14ac:dyDescent="2">
      <c r="A13" s="224">
        <f>+A11+1</f>
        <v>7</v>
      </c>
      <c r="B13" s="362" t="s">
        <v>29</v>
      </c>
      <c r="C13" s="346" t="s">
        <v>363</v>
      </c>
      <c r="D13" s="347"/>
      <c r="E13" s="276"/>
      <c r="F13" s="276"/>
      <c r="G13" s="276"/>
      <c r="H13" s="276"/>
      <c r="I13" s="276"/>
      <c r="J13" s="276"/>
      <c r="K13" s="276">
        <f>SUM(E13:J13)</f>
        <v>0</v>
      </c>
      <c r="L13" s="348"/>
      <c r="M13" s="348"/>
      <c r="N13" s="349"/>
      <c r="O13" s="348"/>
      <c r="P13" s="348"/>
      <c r="Q13" s="75"/>
      <c r="R13" s="75"/>
      <c r="S13" s="167"/>
      <c r="V13" s="75"/>
    </row>
    <row r="14" spans="1:22" s="192" customFormat="1" ht="117.75" customHeight="1" thickBot="1" x14ac:dyDescent="1.95">
      <c r="A14" s="475" t="s">
        <v>154</v>
      </c>
      <c r="B14" s="475"/>
      <c r="C14" s="476"/>
      <c r="D14" s="193"/>
      <c r="E14" s="298">
        <f>SUM(E13)</f>
        <v>0</v>
      </c>
      <c r="F14" s="298">
        <f>+F13</f>
        <v>0</v>
      </c>
      <c r="G14" s="298">
        <f t="shared" ref="G14" si="4">SUM(G13)</f>
        <v>0</v>
      </c>
      <c r="H14" s="298">
        <f>+H13</f>
        <v>0</v>
      </c>
      <c r="I14" s="298">
        <f>+I13</f>
        <v>0</v>
      </c>
      <c r="J14" s="298">
        <f t="shared" ref="J14" si="5">SUM(J13)</f>
        <v>0</v>
      </c>
      <c r="K14" s="298">
        <f>SUM(K13)</f>
        <v>0</v>
      </c>
      <c r="L14" s="298">
        <f t="shared" ref="L14:P14" si="6">SUM(L13)</f>
        <v>0</v>
      </c>
      <c r="M14" s="298">
        <f t="shared" si="6"/>
        <v>0</v>
      </c>
      <c r="N14" s="298">
        <f t="shared" si="6"/>
        <v>0</v>
      </c>
      <c r="O14" s="298">
        <f t="shared" si="6"/>
        <v>0</v>
      </c>
      <c r="P14" s="298">
        <f t="shared" si="6"/>
        <v>0</v>
      </c>
      <c r="R14" s="191"/>
      <c r="S14" s="194"/>
    </row>
    <row r="15" spans="1:22" ht="95.25" customHeight="1" x14ac:dyDescent="2">
      <c r="A15" s="227">
        <f>+A13+1</f>
        <v>8</v>
      </c>
      <c r="B15" s="228" t="s">
        <v>266</v>
      </c>
      <c r="C15" s="229" t="s">
        <v>250</v>
      </c>
      <c r="D15" s="230"/>
      <c r="E15" s="277">
        <v>2165</v>
      </c>
      <c r="F15" s="284"/>
      <c r="G15" s="285"/>
      <c r="H15" s="286"/>
      <c r="I15" s="341"/>
      <c r="J15" s="277"/>
      <c r="K15" s="277">
        <f>+E15+J15</f>
        <v>2165</v>
      </c>
      <c r="L15" s="280"/>
      <c r="M15" s="280"/>
      <c r="N15" s="280"/>
      <c r="O15" s="280"/>
      <c r="P15" s="280">
        <f>+K15</f>
        <v>2165</v>
      </c>
      <c r="Q15" s="75"/>
      <c r="R15" s="75"/>
      <c r="S15" s="168"/>
      <c r="V15" s="75"/>
    </row>
    <row r="16" spans="1:22" ht="95.25" customHeight="1" x14ac:dyDescent="2">
      <c r="A16" s="213">
        <f>+A15+1</f>
        <v>9</v>
      </c>
      <c r="B16" s="231" t="s">
        <v>267</v>
      </c>
      <c r="C16" s="232" t="s">
        <v>250</v>
      </c>
      <c r="D16" s="230"/>
      <c r="E16" s="277">
        <v>1569</v>
      </c>
      <c r="F16" s="277"/>
      <c r="G16" s="277"/>
      <c r="H16" s="277"/>
      <c r="I16" s="277"/>
      <c r="J16" s="277"/>
      <c r="K16" s="277">
        <f>SUM(E16:J16)</f>
        <v>1569</v>
      </c>
      <c r="L16" s="280"/>
      <c r="M16" s="280"/>
      <c r="N16" s="280"/>
      <c r="O16" s="280"/>
      <c r="P16" s="280">
        <f>+K16</f>
        <v>1569</v>
      </c>
      <c r="Q16" s="75"/>
      <c r="R16" s="75"/>
      <c r="S16" s="168"/>
      <c r="V16" s="75"/>
    </row>
    <row r="17" spans="1:22" ht="95.25" customHeight="1" x14ac:dyDescent="2">
      <c r="A17" s="213">
        <f t="shared" ref="A17:A30" si="7">+A16+1</f>
        <v>10</v>
      </c>
      <c r="B17" s="231" t="s">
        <v>268</v>
      </c>
      <c r="C17" s="232" t="s">
        <v>250</v>
      </c>
      <c r="D17" s="230"/>
      <c r="E17" s="277">
        <v>2039</v>
      </c>
      <c r="F17" s="277"/>
      <c r="G17" s="277"/>
      <c r="H17" s="277"/>
      <c r="I17" s="277"/>
      <c r="J17" s="277"/>
      <c r="K17" s="277">
        <f>+E17</f>
        <v>2039</v>
      </c>
      <c r="L17" s="280"/>
      <c r="M17" s="280"/>
      <c r="N17" s="280"/>
      <c r="O17" s="280"/>
      <c r="P17" s="280">
        <f>+K17</f>
        <v>2039</v>
      </c>
      <c r="Q17" s="75"/>
      <c r="R17" s="75"/>
      <c r="S17" s="168"/>
      <c r="V17" s="75"/>
    </row>
    <row r="18" spans="1:22" ht="95.25" customHeight="1" x14ac:dyDescent="2">
      <c r="A18" s="213">
        <f t="shared" si="7"/>
        <v>11</v>
      </c>
      <c r="B18" s="231" t="s">
        <v>269</v>
      </c>
      <c r="C18" s="232" t="s">
        <v>250</v>
      </c>
      <c r="D18" s="233"/>
      <c r="E18" s="277">
        <v>3479</v>
      </c>
      <c r="F18" s="277"/>
      <c r="G18" s="277"/>
      <c r="H18" s="277"/>
      <c r="I18" s="277"/>
      <c r="J18" s="277">
        <v>0</v>
      </c>
      <c r="K18" s="277">
        <f>+E18+F18</f>
        <v>3479</v>
      </c>
      <c r="L18" s="280"/>
      <c r="M18" s="280"/>
      <c r="N18" s="280"/>
      <c r="O18" s="280"/>
      <c r="P18" s="280">
        <f>+K18</f>
        <v>3479</v>
      </c>
      <c r="Q18" s="75"/>
      <c r="R18" s="75"/>
      <c r="S18" s="168"/>
      <c r="V18" s="75"/>
    </row>
    <row r="19" spans="1:22" ht="95.25" customHeight="1" x14ac:dyDescent="2">
      <c r="A19" s="213">
        <f t="shared" si="7"/>
        <v>12</v>
      </c>
      <c r="B19" s="231" t="s">
        <v>270</v>
      </c>
      <c r="C19" s="232" t="s">
        <v>250</v>
      </c>
      <c r="D19" s="230"/>
      <c r="E19" s="277">
        <v>1959</v>
      </c>
      <c r="F19" s="277"/>
      <c r="G19" s="277"/>
      <c r="H19" s="277"/>
      <c r="I19" s="277"/>
      <c r="J19" s="277"/>
      <c r="K19" s="277">
        <f>SUM(E19:J19)</f>
        <v>1959</v>
      </c>
      <c r="L19" s="280"/>
      <c r="M19" s="280"/>
      <c r="N19" s="280"/>
      <c r="O19" s="280"/>
      <c r="P19" s="280">
        <f>+K19</f>
        <v>1959</v>
      </c>
      <c r="Q19" s="75"/>
      <c r="R19" s="75"/>
      <c r="S19" s="168"/>
      <c r="V19" s="75"/>
    </row>
    <row r="20" spans="1:22" ht="95.25" customHeight="1" x14ac:dyDescent="2">
      <c r="A20" s="213">
        <f t="shared" si="7"/>
        <v>13</v>
      </c>
      <c r="B20" s="231" t="s">
        <v>271</v>
      </c>
      <c r="C20" s="232" t="s">
        <v>250</v>
      </c>
      <c r="D20" s="233"/>
      <c r="E20" s="477" t="s">
        <v>29</v>
      </c>
      <c r="F20" s="478"/>
      <c r="G20" s="478"/>
      <c r="H20" s="478"/>
      <c r="I20" s="478"/>
      <c r="J20" s="478"/>
      <c r="K20" s="479"/>
      <c r="L20" s="280"/>
      <c r="M20" s="280"/>
      <c r="N20" s="280"/>
      <c r="O20" s="280"/>
      <c r="P20" s="280"/>
      <c r="Q20" s="75"/>
      <c r="R20" s="75"/>
      <c r="S20" s="168"/>
      <c r="V20" s="75"/>
    </row>
    <row r="21" spans="1:22" ht="95.25" customHeight="1" x14ac:dyDescent="2">
      <c r="A21" s="213">
        <f t="shared" si="7"/>
        <v>14</v>
      </c>
      <c r="B21" s="231" t="s">
        <v>272</v>
      </c>
      <c r="C21" s="232" t="s">
        <v>250</v>
      </c>
      <c r="D21" s="230"/>
      <c r="E21" s="277">
        <v>1485</v>
      </c>
      <c r="F21" s="277"/>
      <c r="G21" s="277"/>
      <c r="H21" s="277"/>
      <c r="I21" s="277"/>
      <c r="J21" s="277"/>
      <c r="K21" s="277">
        <f>+E21</f>
        <v>1485</v>
      </c>
      <c r="L21" s="280"/>
      <c r="M21" s="280"/>
      <c r="N21" s="280"/>
      <c r="O21" s="280"/>
      <c r="P21" s="280">
        <f t="shared" ref="P21:P30" si="8">+K21</f>
        <v>1485</v>
      </c>
      <c r="Q21" s="75"/>
      <c r="R21" s="75"/>
      <c r="S21" s="168"/>
      <c r="V21" s="75"/>
    </row>
    <row r="22" spans="1:22" ht="95.25" customHeight="1" x14ac:dyDescent="2">
      <c r="A22" s="213">
        <f t="shared" si="7"/>
        <v>15</v>
      </c>
      <c r="B22" s="231" t="s">
        <v>273</v>
      </c>
      <c r="C22" s="232" t="s">
        <v>250</v>
      </c>
      <c r="D22" s="230"/>
      <c r="E22" s="277">
        <v>1661</v>
      </c>
      <c r="F22" s="277"/>
      <c r="G22" s="277"/>
      <c r="H22" s="277"/>
      <c r="I22" s="277"/>
      <c r="J22" s="277"/>
      <c r="K22" s="277">
        <f>+E22</f>
        <v>1661</v>
      </c>
      <c r="L22" s="280"/>
      <c r="M22" s="280"/>
      <c r="N22" s="280"/>
      <c r="O22" s="280"/>
      <c r="P22" s="280">
        <f t="shared" si="8"/>
        <v>1661</v>
      </c>
      <c r="Q22" s="75"/>
      <c r="R22" s="75"/>
      <c r="S22" s="168"/>
      <c r="V22" s="75"/>
    </row>
    <row r="23" spans="1:22" ht="95.25" customHeight="1" x14ac:dyDescent="2">
      <c r="A23" s="213">
        <f t="shared" si="7"/>
        <v>16</v>
      </c>
      <c r="B23" s="231" t="s">
        <v>274</v>
      </c>
      <c r="C23" s="232" t="s">
        <v>250</v>
      </c>
      <c r="D23" s="230"/>
      <c r="E23" s="477" t="s">
        <v>29</v>
      </c>
      <c r="F23" s="478"/>
      <c r="G23" s="478"/>
      <c r="H23" s="478"/>
      <c r="I23" s="478"/>
      <c r="J23" s="478"/>
      <c r="K23" s="479"/>
      <c r="L23" s="280"/>
      <c r="M23" s="280"/>
      <c r="N23" s="280"/>
      <c r="O23" s="280"/>
      <c r="P23" s="280"/>
      <c r="Q23" s="75"/>
      <c r="R23" s="75"/>
      <c r="S23" s="168"/>
      <c r="V23" s="75"/>
    </row>
    <row r="24" spans="1:22" ht="95.25" customHeight="1" x14ac:dyDescent="2">
      <c r="A24" s="213">
        <f t="shared" si="7"/>
        <v>17</v>
      </c>
      <c r="B24" s="231" t="s">
        <v>284</v>
      </c>
      <c r="C24" s="232" t="s">
        <v>250</v>
      </c>
      <c r="D24" s="233"/>
      <c r="E24" s="477" t="s">
        <v>29</v>
      </c>
      <c r="F24" s="478"/>
      <c r="G24" s="478"/>
      <c r="H24" s="478"/>
      <c r="I24" s="478"/>
      <c r="J24" s="478"/>
      <c r="K24" s="479"/>
      <c r="L24" s="280"/>
      <c r="M24" s="280"/>
      <c r="N24" s="280"/>
      <c r="O24" s="280"/>
      <c r="P24" s="280"/>
      <c r="Q24" s="75"/>
      <c r="R24" s="75"/>
      <c r="S24" s="168"/>
      <c r="V24" s="75"/>
    </row>
    <row r="25" spans="1:22" ht="95.25" customHeight="1" x14ac:dyDescent="2">
      <c r="A25" s="213">
        <f t="shared" si="7"/>
        <v>18</v>
      </c>
      <c r="B25" s="231" t="s">
        <v>282</v>
      </c>
      <c r="C25" s="232" t="s">
        <v>250</v>
      </c>
      <c r="D25" s="233"/>
      <c r="E25" s="277">
        <v>1591</v>
      </c>
      <c r="F25" s="277"/>
      <c r="G25" s="277"/>
      <c r="H25" s="277"/>
      <c r="I25" s="277"/>
      <c r="J25" s="277"/>
      <c r="K25" s="277">
        <f t="shared" ref="K25:K30" si="9">+E25</f>
        <v>1591</v>
      </c>
      <c r="L25" s="280"/>
      <c r="M25" s="280"/>
      <c r="N25" s="280"/>
      <c r="O25" s="280"/>
      <c r="P25" s="280">
        <f t="shared" si="8"/>
        <v>1591</v>
      </c>
      <c r="Q25" s="75"/>
      <c r="R25" s="75"/>
      <c r="S25" s="168"/>
      <c r="V25" s="75"/>
    </row>
    <row r="26" spans="1:22" ht="95.25" customHeight="1" x14ac:dyDescent="2">
      <c r="A26" s="213">
        <f t="shared" si="7"/>
        <v>19</v>
      </c>
      <c r="B26" s="231" t="s">
        <v>275</v>
      </c>
      <c r="C26" s="232" t="s">
        <v>250</v>
      </c>
      <c r="D26" s="230"/>
      <c r="E26" s="277">
        <v>1861</v>
      </c>
      <c r="F26" s="277"/>
      <c r="G26" s="277"/>
      <c r="H26" s="277"/>
      <c r="I26" s="277"/>
      <c r="J26" s="277"/>
      <c r="K26" s="277">
        <f t="shared" si="9"/>
        <v>1861</v>
      </c>
      <c r="L26" s="280"/>
      <c r="M26" s="280"/>
      <c r="N26" s="280"/>
      <c r="O26" s="280"/>
      <c r="P26" s="280">
        <f t="shared" si="8"/>
        <v>1861</v>
      </c>
      <c r="Q26" s="75"/>
      <c r="R26" s="75"/>
      <c r="S26" s="168"/>
      <c r="V26" s="75"/>
    </row>
    <row r="27" spans="1:22" ht="95.25" customHeight="1" x14ac:dyDescent="2">
      <c r="A27" s="213">
        <f t="shared" si="7"/>
        <v>20</v>
      </c>
      <c r="B27" s="231" t="s">
        <v>265</v>
      </c>
      <c r="C27" s="232" t="s">
        <v>250</v>
      </c>
      <c r="D27" s="230"/>
      <c r="E27" s="277">
        <v>2183</v>
      </c>
      <c r="F27" s="277"/>
      <c r="G27" s="277"/>
      <c r="H27" s="277"/>
      <c r="I27" s="277"/>
      <c r="J27" s="277"/>
      <c r="K27" s="277">
        <f t="shared" si="9"/>
        <v>2183</v>
      </c>
      <c r="L27" s="280"/>
      <c r="M27" s="280"/>
      <c r="N27" s="280"/>
      <c r="O27" s="280"/>
      <c r="P27" s="280">
        <f t="shared" si="8"/>
        <v>2183</v>
      </c>
      <c r="Q27" s="75"/>
      <c r="R27" s="75"/>
      <c r="S27" s="168"/>
      <c r="V27" s="75"/>
    </row>
    <row r="28" spans="1:22" ht="95.25" customHeight="1" x14ac:dyDescent="2">
      <c r="A28" s="213">
        <f t="shared" si="7"/>
        <v>21</v>
      </c>
      <c r="B28" s="231" t="s">
        <v>262</v>
      </c>
      <c r="C28" s="232" t="s">
        <v>250</v>
      </c>
      <c r="D28" s="233"/>
      <c r="E28" s="287">
        <v>1735</v>
      </c>
      <c r="F28" s="277"/>
      <c r="G28" s="277"/>
      <c r="H28" s="277"/>
      <c r="I28" s="277"/>
      <c r="J28" s="277"/>
      <c r="K28" s="277">
        <f t="shared" si="9"/>
        <v>1735</v>
      </c>
      <c r="L28" s="280"/>
      <c r="M28" s="280"/>
      <c r="N28" s="280"/>
      <c r="O28" s="280"/>
      <c r="P28" s="280">
        <f t="shared" si="8"/>
        <v>1735</v>
      </c>
      <c r="Q28" s="75"/>
      <c r="R28" s="75"/>
      <c r="S28" s="168"/>
      <c r="V28" s="75"/>
    </row>
    <row r="29" spans="1:22" ht="95.25" customHeight="1" x14ac:dyDescent="2">
      <c r="A29" s="213">
        <f t="shared" si="7"/>
        <v>22</v>
      </c>
      <c r="B29" s="231" t="s">
        <v>261</v>
      </c>
      <c r="C29" s="232" t="s">
        <v>250</v>
      </c>
      <c r="D29" s="230"/>
      <c r="E29" s="277">
        <v>2005</v>
      </c>
      <c r="F29" s="277"/>
      <c r="G29" s="277"/>
      <c r="H29" s="277"/>
      <c r="I29" s="277"/>
      <c r="J29" s="277"/>
      <c r="K29" s="277">
        <f>+J29+E29</f>
        <v>2005</v>
      </c>
      <c r="L29" s="280"/>
      <c r="M29" s="280"/>
      <c r="N29" s="280"/>
      <c r="O29" s="280"/>
      <c r="P29" s="280">
        <f t="shared" si="8"/>
        <v>2005</v>
      </c>
      <c r="Q29" s="75"/>
      <c r="R29" s="75"/>
      <c r="S29" s="168"/>
      <c r="V29" s="75"/>
    </row>
    <row r="30" spans="1:22" ht="95.25" customHeight="1" x14ac:dyDescent="2">
      <c r="A30" s="352">
        <f t="shared" si="7"/>
        <v>23</v>
      </c>
      <c r="B30" s="353" t="s">
        <v>260</v>
      </c>
      <c r="C30" s="354" t="s">
        <v>250</v>
      </c>
      <c r="D30" s="355"/>
      <c r="E30" s="356">
        <v>1739</v>
      </c>
      <c r="F30" s="356"/>
      <c r="G30" s="356"/>
      <c r="H30" s="356"/>
      <c r="I30" s="356"/>
      <c r="J30" s="356"/>
      <c r="K30" s="356">
        <f t="shared" si="9"/>
        <v>1739</v>
      </c>
      <c r="L30" s="357"/>
      <c r="M30" s="357"/>
      <c r="N30" s="357"/>
      <c r="O30" s="357"/>
      <c r="P30" s="357">
        <f t="shared" si="8"/>
        <v>1739</v>
      </c>
      <c r="Q30" s="75"/>
      <c r="R30" s="75"/>
      <c r="S30" s="167"/>
      <c r="V30" s="75"/>
    </row>
    <row r="31" spans="1:22" s="275" customFormat="1" ht="112.5" customHeight="1" thickBot="1" x14ac:dyDescent="1.95">
      <c r="A31" s="480" t="s">
        <v>259</v>
      </c>
      <c r="B31" s="480"/>
      <c r="C31" s="481"/>
      <c r="D31" s="300"/>
      <c r="E31" s="288">
        <f>SUM(E15:E30)</f>
        <v>25471</v>
      </c>
      <c r="F31" s="288">
        <f>SUM(F15:F30)</f>
        <v>0</v>
      </c>
      <c r="G31" s="288">
        <f t="shared" ref="G31" si="10">SUM(G15:G30)</f>
        <v>0</v>
      </c>
      <c r="H31" s="288">
        <f>SUM(H15:H30)</f>
        <v>0</v>
      </c>
      <c r="I31" s="288"/>
      <c r="J31" s="288">
        <f>SUM(J15:J30)</f>
        <v>0</v>
      </c>
      <c r="K31" s="288">
        <f>SUM(K15:K19)+K21+K22+K24+K25+K26+K27+K28+K29+K30+K23</f>
        <v>25471</v>
      </c>
      <c r="L31" s="288">
        <f t="shared" ref="L31:M31" si="11">SUM(L15:L30)</f>
        <v>0</v>
      </c>
      <c r="M31" s="288">
        <f t="shared" si="11"/>
        <v>0</v>
      </c>
      <c r="N31" s="288">
        <f>SUM(N15:N30)</f>
        <v>0</v>
      </c>
      <c r="O31" s="288">
        <f t="shared" ref="O31:P31" si="12">SUM(O15:O30)</f>
        <v>0</v>
      </c>
      <c r="P31" s="288">
        <f t="shared" si="12"/>
        <v>25471</v>
      </c>
      <c r="Q31" s="274"/>
      <c r="R31" s="274"/>
    </row>
    <row r="32" spans="1:22" ht="110.25" customHeight="1" x14ac:dyDescent="2">
      <c r="A32" s="234">
        <f>+A30+1</f>
        <v>24</v>
      </c>
      <c r="B32" s="235" t="s">
        <v>251</v>
      </c>
      <c r="C32" s="236" t="s">
        <v>252</v>
      </c>
      <c r="D32" s="226"/>
      <c r="E32" s="276">
        <v>27000</v>
      </c>
      <c r="F32" s="276"/>
      <c r="G32" s="276"/>
      <c r="H32" s="276"/>
      <c r="I32" s="276"/>
      <c r="J32" s="276"/>
      <c r="K32" s="276">
        <f>SUM(E32:J32)</f>
        <v>27000</v>
      </c>
      <c r="L32" s="289">
        <v>27000</v>
      </c>
      <c r="M32" s="290"/>
      <c r="N32" s="290"/>
      <c r="O32" s="290"/>
      <c r="P32" s="290"/>
      <c r="Q32" s="75"/>
      <c r="R32" s="75"/>
      <c r="S32" s="167"/>
      <c r="V32" s="75"/>
    </row>
    <row r="33" spans="1:22" ht="110.25" customHeight="1" x14ac:dyDescent="2">
      <c r="A33" s="237">
        <f>+A32+1</f>
        <v>25</v>
      </c>
      <c r="B33" s="334" t="s">
        <v>353</v>
      </c>
      <c r="C33" s="225" t="s">
        <v>279</v>
      </c>
      <c r="D33" s="226"/>
      <c r="E33" s="289">
        <v>40000</v>
      </c>
      <c r="F33" s="276"/>
      <c r="G33" s="291"/>
      <c r="H33" s="276">
        <v>-40000</v>
      </c>
      <c r="I33" s="276"/>
      <c r="J33" s="276"/>
      <c r="K33" s="276">
        <f t="shared" ref="K33:K45" si="13">SUM(E33:J33)</f>
        <v>0</v>
      </c>
      <c r="L33" s="290"/>
      <c r="M33" s="292" t="s">
        <v>285</v>
      </c>
      <c r="N33" s="290"/>
      <c r="O33" s="280"/>
      <c r="P33" s="280"/>
      <c r="Q33" s="75"/>
      <c r="R33" s="81"/>
      <c r="S33" s="167"/>
      <c r="V33" s="75"/>
    </row>
    <row r="34" spans="1:22" ht="110.25" customHeight="1" x14ac:dyDescent="2">
      <c r="A34" s="237">
        <f t="shared" ref="A34:A44" si="14">+A33+1</f>
        <v>26</v>
      </c>
      <c r="B34" s="238" t="s">
        <v>293</v>
      </c>
      <c r="C34" s="218" t="s">
        <v>294</v>
      </c>
      <c r="D34" s="219"/>
      <c r="E34" s="279"/>
      <c r="F34" s="277"/>
      <c r="G34" s="277"/>
      <c r="H34" s="276"/>
      <c r="I34" s="276"/>
      <c r="J34" s="277"/>
      <c r="K34" s="276">
        <f t="shared" si="13"/>
        <v>0</v>
      </c>
      <c r="L34" s="280"/>
      <c r="M34" s="280"/>
      <c r="N34" s="280"/>
      <c r="O34" s="293"/>
      <c r="P34" s="293"/>
      <c r="Q34" s="75"/>
      <c r="R34" s="75"/>
      <c r="S34" s="167"/>
      <c r="V34" s="75"/>
    </row>
    <row r="35" spans="1:22" ht="110.25" customHeight="1" x14ac:dyDescent="2">
      <c r="A35" s="237">
        <f t="shared" si="14"/>
        <v>27</v>
      </c>
      <c r="B35" s="220" t="s">
        <v>332</v>
      </c>
      <c r="C35" s="218" t="s">
        <v>253</v>
      </c>
      <c r="D35" s="219"/>
      <c r="E35" s="279">
        <v>18150</v>
      </c>
      <c r="F35" s="277"/>
      <c r="G35" s="277"/>
      <c r="H35" s="276"/>
      <c r="I35" s="276"/>
      <c r="J35" s="277"/>
      <c r="K35" s="276">
        <f t="shared" si="13"/>
        <v>18150</v>
      </c>
      <c r="L35" s="280"/>
      <c r="M35" s="280"/>
      <c r="N35" s="280"/>
      <c r="O35" s="293">
        <f>+K35</f>
        <v>18150</v>
      </c>
      <c r="P35" s="293"/>
      <c r="Q35" s="75"/>
      <c r="R35" s="75"/>
      <c r="S35" s="167"/>
      <c r="V35" s="75"/>
    </row>
    <row r="36" spans="1:22" ht="110.25" customHeight="1" x14ac:dyDescent="2">
      <c r="A36" s="237">
        <f t="shared" si="14"/>
        <v>28</v>
      </c>
      <c r="B36" s="220" t="s">
        <v>254</v>
      </c>
      <c r="C36" s="218" t="s">
        <v>263</v>
      </c>
      <c r="D36" s="219"/>
      <c r="E36" s="293">
        <v>5324</v>
      </c>
      <c r="F36" s="280"/>
      <c r="G36" s="280"/>
      <c r="H36" s="290"/>
      <c r="I36" s="290"/>
      <c r="J36" s="280"/>
      <c r="K36" s="276">
        <f t="shared" si="13"/>
        <v>5324</v>
      </c>
      <c r="L36" s="280"/>
      <c r="M36" s="280"/>
      <c r="N36" s="280"/>
      <c r="O36" s="293">
        <f>+K36</f>
        <v>5324</v>
      </c>
      <c r="P36" s="293"/>
      <c r="Q36" s="75"/>
      <c r="R36" s="75"/>
      <c r="S36" s="167"/>
      <c r="V36" s="75"/>
    </row>
    <row r="37" spans="1:22" ht="110.25" customHeight="1" x14ac:dyDescent="2">
      <c r="A37" s="237">
        <f t="shared" si="14"/>
        <v>29</v>
      </c>
      <c r="B37" s="220" t="s">
        <v>6</v>
      </c>
      <c r="C37" s="218" t="s">
        <v>264</v>
      </c>
      <c r="D37" s="219"/>
      <c r="E37" s="293">
        <v>5324</v>
      </c>
      <c r="F37" s="280"/>
      <c r="G37" s="280"/>
      <c r="H37" s="290"/>
      <c r="I37" s="290"/>
      <c r="J37" s="280"/>
      <c r="K37" s="276">
        <f t="shared" si="13"/>
        <v>5324</v>
      </c>
      <c r="L37" s="280"/>
      <c r="M37" s="280"/>
      <c r="N37" s="280"/>
      <c r="O37" s="293">
        <f>+K37</f>
        <v>5324</v>
      </c>
      <c r="P37" s="293"/>
      <c r="Q37" s="75"/>
      <c r="R37" s="75"/>
      <c r="S37" s="167"/>
      <c r="V37" s="75"/>
    </row>
    <row r="38" spans="1:22" ht="110.25" customHeight="1" x14ac:dyDescent="2">
      <c r="A38" s="237">
        <f t="shared" si="14"/>
        <v>30</v>
      </c>
      <c r="B38" s="220" t="s">
        <v>333</v>
      </c>
      <c r="C38" s="218" t="s">
        <v>132</v>
      </c>
      <c r="D38" s="239"/>
      <c r="E38" s="294">
        <v>3800</v>
      </c>
      <c r="F38" s="294"/>
      <c r="G38" s="294"/>
      <c r="H38" s="295"/>
      <c r="I38" s="295"/>
      <c r="J38" s="294"/>
      <c r="K38" s="276">
        <f t="shared" si="13"/>
        <v>3800</v>
      </c>
      <c r="L38" s="294"/>
      <c r="M38" s="294"/>
      <c r="N38" s="294"/>
      <c r="O38" s="293">
        <v>3800</v>
      </c>
      <c r="P38" s="293"/>
      <c r="Q38" s="75"/>
      <c r="R38" s="75"/>
      <c r="S38" s="167"/>
      <c r="V38" s="75"/>
    </row>
    <row r="39" spans="1:22" ht="110.25" customHeight="1" x14ac:dyDescent="2">
      <c r="A39" s="237">
        <f t="shared" si="14"/>
        <v>31</v>
      </c>
      <c r="B39" s="220" t="s">
        <v>334</v>
      </c>
      <c r="C39" s="218" t="s">
        <v>132</v>
      </c>
      <c r="D39" s="239"/>
      <c r="E39" s="294">
        <v>7476</v>
      </c>
      <c r="F39" s="294"/>
      <c r="G39" s="294"/>
      <c r="H39" s="295"/>
      <c r="I39" s="295"/>
      <c r="J39" s="294"/>
      <c r="K39" s="276">
        <f t="shared" si="13"/>
        <v>7476</v>
      </c>
      <c r="L39" s="294"/>
      <c r="M39" s="294"/>
      <c r="N39" s="294"/>
      <c r="O39" s="279">
        <f>+K39</f>
        <v>7476</v>
      </c>
      <c r="P39" s="293"/>
      <c r="Q39" s="75"/>
      <c r="R39" s="75"/>
      <c r="S39" s="167"/>
      <c r="V39" s="75"/>
    </row>
    <row r="40" spans="1:22" ht="110.25" customHeight="1" x14ac:dyDescent="2">
      <c r="A40" s="237">
        <f t="shared" si="14"/>
        <v>32</v>
      </c>
      <c r="B40" s="220" t="s">
        <v>335</v>
      </c>
      <c r="C40" s="218" t="s">
        <v>132</v>
      </c>
      <c r="D40" s="239"/>
      <c r="E40" s="294">
        <v>4120</v>
      </c>
      <c r="F40" s="294"/>
      <c r="G40" s="294">
        <v>4008</v>
      </c>
      <c r="H40" s="295"/>
      <c r="I40" s="295"/>
      <c r="J40" s="294"/>
      <c r="K40" s="276">
        <f t="shared" si="13"/>
        <v>8128</v>
      </c>
      <c r="L40" s="294"/>
      <c r="M40" s="294"/>
      <c r="N40" s="294"/>
      <c r="O40" s="279">
        <f>+K40</f>
        <v>8128</v>
      </c>
      <c r="P40" s="293"/>
      <c r="Q40" s="75"/>
      <c r="R40" s="75"/>
      <c r="S40" s="167"/>
      <c r="V40" s="75"/>
    </row>
    <row r="41" spans="1:22" ht="110.25" customHeight="1" x14ac:dyDescent="2">
      <c r="A41" s="237">
        <f t="shared" si="14"/>
        <v>33</v>
      </c>
      <c r="B41" s="220" t="s">
        <v>336</v>
      </c>
      <c r="C41" s="218" t="s">
        <v>132</v>
      </c>
      <c r="D41" s="239"/>
      <c r="E41" s="294">
        <v>4592</v>
      </c>
      <c r="F41" s="294"/>
      <c r="G41" s="294"/>
      <c r="H41" s="295"/>
      <c r="I41" s="295"/>
      <c r="J41" s="294"/>
      <c r="K41" s="276">
        <f t="shared" si="13"/>
        <v>4592</v>
      </c>
      <c r="L41" s="294"/>
      <c r="M41" s="294"/>
      <c r="N41" s="294"/>
      <c r="O41" s="279">
        <f t="shared" ref="O41" si="15">+K41</f>
        <v>4592</v>
      </c>
      <c r="P41" s="293"/>
      <c r="Q41" s="75"/>
      <c r="R41" s="75"/>
      <c r="S41" s="167"/>
      <c r="V41" s="75"/>
    </row>
    <row r="42" spans="1:22" ht="110.25" customHeight="1" x14ac:dyDescent="2">
      <c r="A42" s="237">
        <f t="shared" si="14"/>
        <v>34</v>
      </c>
      <c r="B42" s="220" t="s">
        <v>150</v>
      </c>
      <c r="C42" s="218" t="s">
        <v>89</v>
      </c>
      <c r="D42" s="239"/>
      <c r="E42" s="294">
        <v>6000</v>
      </c>
      <c r="F42" s="294"/>
      <c r="G42" s="294"/>
      <c r="H42" s="276">
        <v>-6000</v>
      </c>
      <c r="I42" s="295"/>
      <c r="J42" s="294"/>
      <c r="K42" s="276">
        <f t="shared" si="13"/>
        <v>0</v>
      </c>
      <c r="L42" s="294"/>
      <c r="M42" s="294"/>
      <c r="N42" s="294"/>
      <c r="O42" s="292" t="s">
        <v>285</v>
      </c>
      <c r="P42" s="293"/>
      <c r="Q42" s="75"/>
      <c r="R42" s="75"/>
      <c r="S42" s="167"/>
      <c r="V42" s="75"/>
    </row>
    <row r="43" spans="1:22" ht="110.25" customHeight="1" x14ac:dyDescent="2">
      <c r="A43" s="237">
        <f t="shared" si="14"/>
        <v>35</v>
      </c>
      <c r="B43" s="220" t="s">
        <v>189</v>
      </c>
      <c r="C43" s="218" t="s">
        <v>187</v>
      </c>
      <c r="D43" s="239"/>
      <c r="E43" s="294">
        <v>400</v>
      </c>
      <c r="F43" s="294"/>
      <c r="G43" s="294"/>
      <c r="H43" s="276">
        <v>-400</v>
      </c>
      <c r="I43" s="294"/>
      <c r="J43" s="294"/>
      <c r="K43" s="276">
        <f t="shared" si="13"/>
        <v>0</v>
      </c>
      <c r="L43" s="294"/>
      <c r="M43" s="294"/>
      <c r="N43" s="294"/>
      <c r="O43" s="292" t="s">
        <v>285</v>
      </c>
      <c r="P43" s="293"/>
      <c r="Q43" s="75"/>
      <c r="R43" s="75"/>
      <c r="S43" s="167"/>
      <c r="V43" s="75"/>
    </row>
    <row r="44" spans="1:22" ht="110.25" customHeight="1" x14ac:dyDescent="2">
      <c r="A44" s="237">
        <f t="shared" si="14"/>
        <v>36</v>
      </c>
      <c r="B44" s="220" t="s">
        <v>192</v>
      </c>
      <c r="C44" s="218" t="s">
        <v>190</v>
      </c>
      <c r="D44" s="239"/>
      <c r="E44" s="294">
        <v>1500</v>
      </c>
      <c r="F44" s="294"/>
      <c r="G44" s="294"/>
      <c r="H44" s="276">
        <v>-1500</v>
      </c>
      <c r="I44" s="294"/>
      <c r="J44" s="294"/>
      <c r="K44" s="276">
        <f t="shared" si="13"/>
        <v>0</v>
      </c>
      <c r="L44" s="294"/>
      <c r="M44" s="294"/>
      <c r="N44" s="294"/>
      <c r="O44" s="292" t="s">
        <v>285</v>
      </c>
      <c r="P44" s="293"/>
      <c r="Q44" s="75"/>
      <c r="R44" s="75"/>
      <c r="S44" s="167"/>
      <c r="V44" s="75"/>
    </row>
    <row r="45" spans="1:22" ht="110.25" customHeight="1" x14ac:dyDescent="2">
      <c r="A45" s="237">
        <f>+A44+1</f>
        <v>37</v>
      </c>
      <c r="B45" s="220" t="s">
        <v>152</v>
      </c>
      <c r="C45" s="218" t="s">
        <v>168</v>
      </c>
      <c r="D45" s="239"/>
      <c r="E45" s="294">
        <v>600</v>
      </c>
      <c r="F45" s="294"/>
      <c r="G45" s="294"/>
      <c r="H45" s="276">
        <v>-600</v>
      </c>
      <c r="I45" s="294"/>
      <c r="J45" s="294"/>
      <c r="K45" s="276">
        <f t="shared" si="13"/>
        <v>0</v>
      </c>
      <c r="L45" s="294"/>
      <c r="M45" s="294"/>
      <c r="N45" s="294"/>
      <c r="O45" s="292" t="s">
        <v>285</v>
      </c>
      <c r="P45" s="293"/>
      <c r="Q45" s="75"/>
      <c r="R45" s="75"/>
      <c r="S45" s="167"/>
      <c r="V45" s="75"/>
    </row>
    <row r="46" spans="1:22" s="259" customFormat="1" ht="110.25" customHeight="1" thickBot="1" x14ac:dyDescent="1.95">
      <c r="A46" s="482" t="s">
        <v>255</v>
      </c>
      <c r="B46" s="483"/>
      <c r="C46" s="483"/>
      <c r="D46" s="257"/>
      <c r="E46" s="296">
        <f>SUM(E32:E45)</f>
        <v>124286</v>
      </c>
      <c r="F46" s="296">
        <f>SUM(F32:F45)</f>
        <v>0</v>
      </c>
      <c r="G46" s="296">
        <f>SUM(G32:G45)</f>
        <v>4008</v>
      </c>
      <c r="H46" s="296">
        <f>SUM(H32:H45)</f>
        <v>-48500</v>
      </c>
      <c r="I46" s="296"/>
      <c r="J46" s="296">
        <f t="shared" ref="J46:P46" si="16">SUM(J32:J45)</f>
        <v>0</v>
      </c>
      <c r="K46" s="296">
        <f t="shared" si="16"/>
        <v>79794</v>
      </c>
      <c r="L46" s="296">
        <f t="shared" si="16"/>
        <v>27000</v>
      </c>
      <c r="M46" s="297">
        <f t="shared" si="16"/>
        <v>0</v>
      </c>
      <c r="N46" s="297">
        <f t="shared" si="16"/>
        <v>0</v>
      </c>
      <c r="O46" s="297">
        <f t="shared" si="16"/>
        <v>52794</v>
      </c>
      <c r="P46" s="297">
        <f t="shared" si="16"/>
        <v>0</v>
      </c>
      <c r="Q46" s="258"/>
    </row>
    <row r="47" spans="1:22" s="275" customFormat="1" ht="110.25" customHeight="1" thickBot="1" x14ac:dyDescent="1.95">
      <c r="A47" s="485" t="s">
        <v>22</v>
      </c>
      <c r="B47" s="486"/>
      <c r="C47" s="486"/>
      <c r="D47" s="271"/>
      <c r="E47" s="335">
        <f t="shared" ref="E47:P47" si="17">+E46+E31+E14+E12</f>
        <v>289077</v>
      </c>
      <c r="F47" s="272">
        <f t="shared" si="17"/>
        <v>0</v>
      </c>
      <c r="G47" s="272">
        <f t="shared" si="17"/>
        <v>4008</v>
      </c>
      <c r="H47" s="272">
        <f t="shared" si="17"/>
        <v>-48500</v>
      </c>
      <c r="I47" s="272">
        <f t="shared" si="17"/>
        <v>0</v>
      </c>
      <c r="J47" s="272">
        <f t="shared" si="17"/>
        <v>0</v>
      </c>
      <c r="K47" s="338">
        <f t="shared" si="17"/>
        <v>244585</v>
      </c>
      <c r="L47" s="272">
        <f t="shared" si="17"/>
        <v>27000</v>
      </c>
      <c r="M47" s="272">
        <f t="shared" si="17"/>
        <v>93120</v>
      </c>
      <c r="N47" s="272">
        <f t="shared" si="17"/>
        <v>46200</v>
      </c>
      <c r="O47" s="273">
        <f t="shared" si="17"/>
        <v>52794</v>
      </c>
      <c r="P47" s="273">
        <f t="shared" si="17"/>
        <v>25471</v>
      </c>
      <c r="Q47" s="274"/>
      <c r="R47" s="274"/>
    </row>
    <row r="48" spans="1:22" s="82" customFormat="1" ht="26.25" customHeight="1" thickTop="1" x14ac:dyDescent="2">
      <c r="C48" s="83"/>
      <c r="D48" s="83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V48" s="167"/>
    </row>
    <row r="49" spans="1:26" s="82" customFormat="1" ht="89.25" hidden="1" customHeight="1" x14ac:dyDescent="1.75">
      <c r="B49" s="487"/>
      <c r="C49" s="487"/>
      <c r="D49" s="487"/>
      <c r="E49" s="487"/>
      <c r="F49" s="487"/>
      <c r="G49" s="86"/>
      <c r="H49" s="84"/>
      <c r="I49" s="84"/>
      <c r="J49" s="84"/>
      <c r="K49" s="488" t="s">
        <v>322</v>
      </c>
      <c r="L49" s="488"/>
      <c r="M49" s="488"/>
      <c r="N49" s="488"/>
      <c r="O49" s="488"/>
      <c r="P49" s="488"/>
      <c r="Q49" s="189"/>
      <c r="R49" s="189"/>
      <c r="S49" s="189"/>
      <c r="T49" s="189"/>
    </row>
    <row r="50" spans="1:26" s="82" customFormat="1" ht="119.25" hidden="1" customHeight="1" x14ac:dyDescent="1.85">
      <c r="B50" s="196"/>
      <c r="C50" s="183"/>
      <c r="E50" s="489"/>
      <c r="F50" s="489"/>
      <c r="H50" s="86"/>
      <c r="I50" s="86"/>
      <c r="L50" s="179" t="s">
        <v>325</v>
      </c>
      <c r="M50" s="195" t="str">
        <f>+M5</f>
        <v xml:space="preserve">กสิกร 119-3-21759-8 </v>
      </c>
      <c r="N50" s="180" t="str">
        <f>+N5</f>
        <v xml:space="preserve">กสิกร 119-3-21471-8  </v>
      </c>
      <c r="O50" s="180" t="str">
        <f>+O5</f>
        <v>SCB 611-281075-3</v>
      </c>
      <c r="P50" s="180" t="str">
        <f>+P5</f>
        <v>SCB 611-261071-1</v>
      </c>
      <c r="Q50" s="187" t="s">
        <v>28</v>
      </c>
      <c r="S50" s="85"/>
    </row>
    <row r="51" spans="1:26" s="82" customFormat="1" ht="119.25" hidden="1" customHeight="1" x14ac:dyDescent="1.85">
      <c r="B51" s="196"/>
      <c r="C51" s="183"/>
      <c r="E51" s="489"/>
      <c r="F51" s="489"/>
      <c r="G51" s="240"/>
      <c r="H51" s="90" t="s">
        <v>256</v>
      </c>
      <c r="I51" s="90"/>
      <c r="L51" s="170">
        <v>311114.19</v>
      </c>
      <c r="M51" s="170">
        <v>891.10000000000582</v>
      </c>
      <c r="N51" s="170">
        <v>488.62000000000262</v>
      </c>
      <c r="O51" s="170">
        <v>536.72000000000116</v>
      </c>
      <c r="P51" s="170">
        <v>500</v>
      </c>
      <c r="Q51" s="172">
        <f>SUM(L51:P51)</f>
        <v>313530.63</v>
      </c>
      <c r="S51" s="87"/>
    </row>
    <row r="52" spans="1:26" s="82" customFormat="1" ht="119.25" hidden="1" customHeight="1" x14ac:dyDescent="1.85">
      <c r="B52" s="196"/>
      <c r="C52" s="183"/>
      <c r="E52" s="490"/>
      <c r="F52" s="490"/>
      <c r="G52" s="240"/>
      <c r="H52" s="90" t="s">
        <v>319</v>
      </c>
      <c r="I52" s="90"/>
      <c r="L52" s="173">
        <v>27000</v>
      </c>
      <c r="M52" s="173">
        <f>+M47</f>
        <v>93120</v>
      </c>
      <c r="N52" s="174">
        <f>+N47</f>
        <v>46200</v>
      </c>
      <c r="O52" s="174">
        <f>+O47</f>
        <v>52794</v>
      </c>
      <c r="P52" s="174">
        <f>+P47</f>
        <v>25471</v>
      </c>
      <c r="Q52" s="181">
        <f>SUM(L52:P52)</f>
        <v>244585</v>
      </c>
      <c r="S52" s="85"/>
    </row>
    <row r="53" spans="1:26" s="82" customFormat="1" ht="119.25" hidden="1" customHeight="1" x14ac:dyDescent="1.85">
      <c r="B53" s="196"/>
      <c r="C53" s="183"/>
      <c r="E53" s="490"/>
      <c r="F53" s="490"/>
      <c r="G53" s="240"/>
      <c r="H53" s="90" t="s">
        <v>320</v>
      </c>
      <c r="I53" s="90"/>
      <c r="L53" s="176">
        <f>+L51-L52</f>
        <v>284114.19</v>
      </c>
      <c r="M53" s="176">
        <f>SUM(M52:M52)</f>
        <v>93120</v>
      </c>
      <c r="N53" s="176">
        <f>SUM(N52:N52)</f>
        <v>46200</v>
      </c>
      <c r="O53" s="176">
        <f>SUM(O52:O52)</f>
        <v>52794</v>
      </c>
      <c r="P53" s="176">
        <f>SUM(P52:P52)</f>
        <v>25471</v>
      </c>
      <c r="Q53" s="177">
        <f>SUM(L53:P53)</f>
        <v>501699.19</v>
      </c>
      <c r="S53" s="85"/>
    </row>
    <row r="54" spans="1:26" s="82" customFormat="1" ht="106.5" hidden="1" customHeight="1" x14ac:dyDescent="1.9">
      <c r="B54" s="206"/>
      <c r="C54" s="183"/>
      <c r="E54" s="491"/>
      <c r="F54" s="491"/>
      <c r="G54" s="240"/>
      <c r="H54" s="90" t="s">
        <v>321</v>
      </c>
      <c r="I54" s="90"/>
      <c r="L54" s="175"/>
      <c r="M54" s="175">
        <f>+M52</f>
        <v>93120</v>
      </c>
      <c r="N54" s="175">
        <f>+N52</f>
        <v>46200</v>
      </c>
      <c r="O54" s="175">
        <f>+O52</f>
        <v>52794</v>
      </c>
      <c r="P54" s="175">
        <f>+P52</f>
        <v>25471</v>
      </c>
      <c r="Q54" s="178">
        <f>SUM(M54:P54)</f>
        <v>217585</v>
      </c>
    </row>
    <row r="55" spans="1:26" s="82" customFormat="1" ht="109.5" hidden="1" customHeight="1" thickBot="1" x14ac:dyDescent="1.95">
      <c r="A55" s="88"/>
      <c r="B55" s="196"/>
      <c r="C55" s="183"/>
      <c r="E55" s="490"/>
      <c r="F55" s="490"/>
      <c r="G55" s="240"/>
      <c r="H55" s="182" t="s">
        <v>257</v>
      </c>
      <c r="I55" s="182"/>
      <c r="L55" s="190">
        <f t="shared" ref="L55:P55" si="18">+L51+L52-L54</f>
        <v>338114.19</v>
      </c>
      <c r="M55" s="190">
        <f t="shared" si="18"/>
        <v>891.10000000000582</v>
      </c>
      <c r="N55" s="190">
        <f t="shared" si="18"/>
        <v>488.62000000000262</v>
      </c>
      <c r="O55" s="190">
        <f t="shared" si="18"/>
        <v>536.72000000000116</v>
      </c>
      <c r="P55" s="190">
        <f t="shared" si="18"/>
        <v>500</v>
      </c>
      <c r="Q55" s="190">
        <f>+Q51+Q52-Q54</f>
        <v>340530.63</v>
      </c>
      <c r="R55" s="85">
        <f>+L55+M55+N55+O55+P55-Q55</f>
        <v>0</v>
      </c>
      <c r="S55" s="89"/>
    </row>
    <row r="56" spans="1:26" s="82" customFormat="1" ht="93.75" hidden="1" x14ac:dyDescent="1.9">
      <c r="A56" s="88"/>
      <c r="B56" s="196"/>
      <c r="C56" s="183"/>
      <c r="E56" s="490"/>
      <c r="F56" s="490"/>
      <c r="G56" s="240"/>
      <c r="H56" s="182"/>
      <c r="I56" s="182"/>
      <c r="K56" s="205"/>
      <c r="L56" s="205"/>
      <c r="M56" s="205"/>
      <c r="N56" s="205"/>
      <c r="O56" s="205"/>
      <c r="P56" s="205"/>
      <c r="R56" s="89"/>
    </row>
    <row r="57" spans="1:26" s="82" customFormat="1" hidden="1" x14ac:dyDescent="2">
      <c r="A57" s="75"/>
      <c r="B57" s="197"/>
      <c r="C57" s="183"/>
      <c r="E57" s="492"/>
      <c r="F57" s="492"/>
      <c r="G57" s="76"/>
      <c r="J57" s="77"/>
      <c r="K57" s="77"/>
      <c r="L57" s="171"/>
      <c r="M57" s="171"/>
      <c r="N57" s="171"/>
      <c r="O57" s="77"/>
      <c r="P57" s="77"/>
      <c r="Q57" s="77"/>
      <c r="R57" s="77"/>
      <c r="S57" s="77"/>
      <c r="T57" s="75"/>
      <c r="U57" s="169"/>
      <c r="V57" s="75"/>
    </row>
    <row r="58" spans="1:26" ht="117.75" hidden="1" customHeight="1" x14ac:dyDescent="2">
      <c r="C58" s="484"/>
      <c r="D58" s="484"/>
      <c r="E58" s="76"/>
      <c r="F58" s="76"/>
      <c r="G58" s="76"/>
      <c r="V58" s="169"/>
    </row>
    <row r="59" spans="1:26" ht="117.75" hidden="1" customHeight="1" x14ac:dyDescent="2">
      <c r="C59" s="78"/>
      <c r="E59" s="76"/>
      <c r="F59" s="76"/>
      <c r="G59" s="76"/>
      <c r="K59" s="77">
        <f>+L55-338114.19</f>
        <v>0</v>
      </c>
      <c r="N59" s="77">
        <f>+O55-536.72</f>
        <v>1.1368683772161603E-12</v>
      </c>
      <c r="O59" s="77">
        <f>+P55-500</f>
        <v>0</v>
      </c>
    </row>
    <row r="60" spans="1:26" hidden="1" x14ac:dyDescent="2">
      <c r="E60" s="76"/>
      <c r="F60" s="76"/>
      <c r="G60" s="76"/>
    </row>
    <row r="61" spans="1:26" x14ac:dyDescent="2">
      <c r="E61" s="76"/>
      <c r="F61" s="76"/>
      <c r="G61" s="76"/>
    </row>
    <row r="62" spans="1:26" x14ac:dyDescent="2">
      <c r="K62" s="79"/>
    </row>
    <row r="63" spans="1:26" s="77" customFormat="1" x14ac:dyDescent="2">
      <c r="A63" s="75"/>
      <c r="B63" s="75"/>
      <c r="C63" s="80"/>
      <c r="D63" s="80"/>
      <c r="T63" s="75"/>
      <c r="U63" s="75"/>
      <c r="V63" s="167"/>
      <c r="W63" s="75"/>
      <c r="X63" s="75"/>
      <c r="Y63" s="75"/>
      <c r="Z63" s="75"/>
    </row>
  </sheetData>
  <mergeCells count="25">
    <mergeCell ref="A1:P1"/>
    <mergeCell ref="A2:P2"/>
    <mergeCell ref="A4:A5"/>
    <mergeCell ref="B4:B5"/>
    <mergeCell ref="C4:C5"/>
    <mergeCell ref="E4:K4"/>
    <mergeCell ref="E51:F51"/>
    <mergeCell ref="A12:C12"/>
    <mergeCell ref="A14:C14"/>
    <mergeCell ref="E20:K20"/>
    <mergeCell ref="E23:K23"/>
    <mergeCell ref="E24:K24"/>
    <mergeCell ref="A31:C31"/>
    <mergeCell ref="A46:C46"/>
    <mergeCell ref="A47:C47"/>
    <mergeCell ref="B49:F49"/>
    <mergeCell ref="K49:P49"/>
    <mergeCell ref="E50:F50"/>
    <mergeCell ref="C58:D58"/>
    <mergeCell ref="E52:F52"/>
    <mergeCell ref="E53:F53"/>
    <mergeCell ref="E54:F54"/>
    <mergeCell ref="E55:F55"/>
    <mergeCell ref="E56:F56"/>
    <mergeCell ref="E57:F57"/>
  </mergeCells>
  <pageMargins left="0.15748031496062992" right="3.937007874015748E-2" top="0.19" bottom="0.17" header="0.15748031496062992" footer="0.17"/>
  <pageSetup paperSize="5" scale="20" orientation="landscape" verticalDpi="0" r:id="rId1"/>
  <rowBreaks count="2" manualBreakCount="2">
    <brk id="58" max="17" man="1"/>
    <brk id="59" max="1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B999-07CC-4FB8-B931-4FA60BE6348A}">
  <dimension ref="A1:Z63"/>
  <sheetViews>
    <sheetView zoomScale="20" zoomScaleNormal="20" zoomScaleSheetLayoutView="20" workbookViewId="0">
      <pane xSplit="2" ySplit="5" topLeftCell="C30" activePane="bottomRight" state="frozen"/>
      <selection pane="topRight" activeCell="C1" sqref="C1"/>
      <selection pane="bottomLeft" activeCell="A7" sqref="A7"/>
      <selection pane="bottomRight" activeCell="O40" sqref="O40"/>
    </sheetView>
  </sheetViews>
  <sheetFormatPr defaultColWidth="8.75" defaultRowHeight="102" x14ac:dyDescent="2"/>
  <cols>
    <col min="1" max="1" width="9.125" style="75" bestFit="1" customWidth="1"/>
    <col min="2" max="2" width="143.875" style="75" customWidth="1"/>
    <col min="3" max="3" width="46" style="80" customWidth="1"/>
    <col min="4" max="4" width="50.625" style="80" customWidth="1"/>
    <col min="5" max="5" width="45.75" style="77" bestFit="1" customWidth="1"/>
    <col min="6" max="6" width="39.375" style="77" hidden="1" customWidth="1"/>
    <col min="7" max="7" width="47" style="77" customWidth="1"/>
    <col min="8" max="8" width="52.25" style="77" customWidth="1"/>
    <col min="9" max="9" width="48.5" style="77" hidden="1" customWidth="1"/>
    <col min="10" max="10" width="43" style="77" customWidth="1"/>
    <col min="11" max="11" width="52" style="77" customWidth="1"/>
    <col min="12" max="12" width="58.75" style="77" customWidth="1"/>
    <col min="13" max="13" width="65.75" style="77" customWidth="1"/>
    <col min="14" max="14" width="64.25" style="77" customWidth="1"/>
    <col min="15" max="15" width="74.5" style="77" customWidth="1"/>
    <col min="16" max="16" width="68.625" style="77" customWidth="1"/>
    <col min="17" max="17" width="71.75" style="77" bestFit="1" customWidth="1"/>
    <col min="18" max="18" width="64.75" style="77" customWidth="1"/>
    <col min="19" max="19" width="65" style="77" customWidth="1"/>
    <col min="20" max="20" width="47.125" style="75" bestFit="1" customWidth="1"/>
    <col min="21" max="21" width="30.75" style="75" bestFit="1" customWidth="1"/>
    <col min="22" max="22" width="43.125" style="167" customWidth="1"/>
    <col min="23" max="16384" width="8.75" style="75"/>
  </cols>
  <sheetData>
    <row r="1" spans="1:22" ht="85.5" customHeight="1" x14ac:dyDescent="2">
      <c r="A1" s="462" t="s">
        <v>238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192"/>
      <c r="R1" s="192"/>
      <c r="S1" s="192"/>
      <c r="T1" s="192"/>
    </row>
    <row r="2" spans="1:22" s="184" customFormat="1" ht="78" customHeight="1" x14ac:dyDescent="0.2">
      <c r="A2" s="463" t="s">
        <v>393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202"/>
      <c r="R2" s="202"/>
      <c r="S2" s="202"/>
      <c r="T2" s="202"/>
      <c r="V2" s="185"/>
    </row>
    <row r="3" spans="1:22" ht="18" customHeight="1" x14ac:dyDescent="2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</row>
    <row r="4" spans="1:22" s="199" customFormat="1" ht="89.25" customHeight="1" x14ac:dyDescent="1.45">
      <c r="A4" s="464" t="s">
        <v>0</v>
      </c>
      <c r="B4" s="464" t="s">
        <v>239</v>
      </c>
      <c r="C4" s="493" t="s">
        <v>9</v>
      </c>
      <c r="D4" s="198"/>
      <c r="E4" s="495" t="s">
        <v>316</v>
      </c>
      <c r="F4" s="496"/>
      <c r="G4" s="496"/>
      <c r="H4" s="496"/>
      <c r="I4" s="496"/>
      <c r="J4" s="496"/>
      <c r="K4" s="497"/>
      <c r="L4" s="260" t="s">
        <v>240</v>
      </c>
      <c r="M4" s="261" t="s">
        <v>241</v>
      </c>
      <c r="N4" s="260" t="s">
        <v>295</v>
      </c>
      <c r="O4" s="262" t="s">
        <v>301</v>
      </c>
      <c r="P4" s="262" t="s">
        <v>303</v>
      </c>
    </row>
    <row r="5" spans="1:22" s="199" customFormat="1" ht="78.75" x14ac:dyDescent="1.45">
      <c r="A5" s="465"/>
      <c r="B5" s="465"/>
      <c r="C5" s="494"/>
      <c r="D5" s="200"/>
      <c r="E5" s="333" t="s">
        <v>8</v>
      </c>
      <c r="F5" s="201" t="s">
        <v>324</v>
      </c>
      <c r="G5" s="209" t="s">
        <v>330</v>
      </c>
      <c r="H5" s="208" t="s">
        <v>285</v>
      </c>
      <c r="I5" s="204" t="s">
        <v>360</v>
      </c>
      <c r="J5" s="204" t="s">
        <v>359</v>
      </c>
      <c r="K5" s="333" t="s">
        <v>323</v>
      </c>
      <c r="L5" s="263" t="s">
        <v>325</v>
      </c>
      <c r="M5" s="264" t="s">
        <v>242</v>
      </c>
      <c r="N5" s="263" t="s">
        <v>243</v>
      </c>
      <c r="O5" s="265" t="s">
        <v>312</v>
      </c>
      <c r="P5" s="265" t="s">
        <v>313</v>
      </c>
    </row>
    <row r="6" spans="1:22" s="188" customFormat="1" ht="98.25" customHeight="1" x14ac:dyDescent="1.85">
      <c r="A6" s="210">
        <v>1</v>
      </c>
      <c r="B6" s="342" t="s">
        <v>361</v>
      </c>
      <c r="C6" s="211" t="s">
        <v>244</v>
      </c>
      <c r="D6" s="212"/>
      <c r="E6" s="277">
        <v>6500</v>
      </c>
      <c r="F6" s="277"/>
      <c r="G6" s="277"/>
      <c r="H6" s="277"/>
      <c r="I6" s="277"/>
      <c r="J6" s="277"/>
      <c r="K6" s="279">
        <f>SUM(E6:J6)</f>
        <v>6500</v>
      </c>
      <c r="L6" s="278"/>
      <c r="M6" s="278">
        <v>6500</v>
      </c>
      <c r="N6" s="278"/>
      <c r="O6" s="278"/>
      <c r="P6" s="278"/>
    </row>
    <row r="7" spans="1:22" s="188" customFormat="1" ht="98.25" customHeight="1" x14ac:dyDescent="1.85">
      <c r="A7" s="213">
        <v>2</v>
      </c>
      <c r="B7" s="214" t="s">
        <v>343</v>
      </c>
      <c r="C7" s="215" t="s">
        <v>245</v>
      </c>
      <c r="D7" s="216"/>
      <c r="E7" s="277">
        <v>46200</v>
      </c>
      <c r="F7" s="277"/>
      <c r="G7" s="277"/>
      <c r="H7" s="277"/>
      <c r="I7" s="277"/>
      <c r="J7" s="277"/>
      <c r="K7" s="279">
        <f>SUM(E7:J7)</f>
        <v>46200</v>
      </c>
      <c r="L7" s="280"/>
      <c r="M7" s="280"/>
      <c r="N7" s="280">
        <v>46200</v>
      </c>
      <c r="O7" s="280"/>
      <c r="P7" s="280"/>
    </row>
    <row r="8" spans="1:22" s="188" customFormat="1" ht="98.25" customHeight="1" x14ac:dyDescent="1.85">
      <c r="A8" s="213">
        <f>+A7+1</f>
        <v>3</v>
      </c>
      <c r="B8" s="217" t="s">
        <v>290</v>
      </c>
      <c r="C8" s="218" t="s">
        <v>4</v>
      </c>
      <c r="D8" s="219"/>
      <c r="E8" s="277">
        <v>10648</v>
      </c>
      <c r="F8" s="277"/>
      <c r="G8" s="277"/>
      <c r="H8" s="277"/>
      <c r="I8" s="277"/>
      <c r="J8" s="277"/>
      <c r="K8" s="279">
        <f t="shared" ref="K8:K11" si="0">SUM(E8:J8)</f>
        <v>10648</v>
      </c>
      <c r="L8" s="280"/>
      <c r="M8" s="279">
        <f>+K8</f>
        <v>10648</v>
      </c>
      <c r="N8" s="280"/>
      <c r="O8" s="280"/>
      <c r="P8" s="280"/>
    </row>
    <row r="9" spans="1:22" s="188" customFormat="1" ht="98.25" customHeight="1" x14ac:dyDescent="1.85">
      <c r="A9" s="213">
        <f t="shared" ref="A9:A11" si="1">+A8+1</f>
        <v>4</v>
      </c>
      <c r="B9" s="220" t="s">
        <v>3</v>
      </c>
      <c r="C9" s="218" t="s">
        <v>164</v>
      </c>
      <c r="D9" s="219"/>
      <c r="E9" s="277">
        <v>7986</v>
      </c>
      <c r="F9" s="277"/>
      <c r="G9" s="277"/>
      <c r="H9" s="277"/>
      <c r="I9" s="277"/>
      <c r="J9" s="277"/>
      <c r="K9" s="279">
        <f t="shared" si="0"/>
        <v>7986</v>
      </c>
      <c r="L9" s="280"/>
      <c r="M9" s="279">
        <f>+K9</f>
        <v>7986</v>
      </c>
      <c r="N9" s="280"/>
      <c r="O9" s="280"/>
      <c r="P9" s="280"/>
    </row>
    <row r="10" spans="1:22" s="188" customFormat="1" ht="98.25" customHeight="1" x14ac:dyDescent="1.85">
      <c r="A10" s="213">
        <f t="shared" si="1"/>
        <v>5</v>
      </c>
      <c r="B10" s="220" t="s">
        <v>10</v>
      </c>
      <c r="C10" s="218" t="s">
        <v>246</v>
      </c>
      <c r="D10" s="219"/>
      <c r="E10" s="277">
        <v>7986</v>
      </c>
      <c r="F10" s="277"/>
      <c r="G10" s="277"/>
      <c r="H10" s="277"/>
      <c r="I10" s="277"/>
      <c r="J10" s="277"/>
      <c r="K10" s="279">
        <f t="shared" si="0"/>
        <v>7986</v>
      </c>
      <c r="L10" s="280"/>
      <c r="M10" s="280">
        <f>+K10</f>
        <v>7986</v>
      </c>
      <c r="N10" s="280"/>
      <c r="O10" s="280"/>
      <c r="P10" s="280"/>
    </row>
    <row r="11" spans="1:22" s="188" customFormat="1" ht="98.25" customHeight="1" x14ac:dyDescent="1.85">
      <c r="A11" s="213">
        <f t="shared" si="1"/>
        <v>6</v>
      </c>
      <c r="B11" s="221" t="s">
        <v>247</v>
      </c>
      <c r="C11" s="222" t="s">
        <v>248</v>
      </c>
      <c r="D11" s="223"/>
      <c r="E11" s="281">
        <v>60000</v>
      </c>
      <c r="F11" s="281"/>
      <c r="G11" s="281"/>
      <c r="H11" s="281"/>
      <c r="I11" s="281"/>
      <c r="J11" s="281"/>
      <c r="K11" s="279">
        <f t="shared" si="0"/>
        <v>60000</v>
      </c>
      <c r="L11" s="282"/>
      <c r="M11" s="282">
        <f>+K11</f>
        <v>60000</v>
      </c>
      <c r="N11" s="282"/>
      <c r="O11" s="282"/>
      <c r="P11" s="282"/>
    </row>
    <row r="12" spans="1:22" s="275" customFormat="1" ht="111.75" customHeight="1" thickBot="1" x14ac:dyDescent="1.95">
      <c r="A12" s="473" t="s">
        <v>249</v>
      </c>
      <c r="B12" s="473"/>
      <c r="C12" s="474"/>
      <c r="D12" s="299"/>
      <c r="E12" s="283">
        <f>SUM(E6:E11)</f>
        <v>139320</v>
      </c>
      <c r="F12" s="283">
        <f t="shared" ref="F12:I12" si="2">SUM(F6:F11)</f>
        <v>0</v>
      </c>
      <c r="G12" s="283">
        <f t="shared" si="2"/>
        <v>0</v>
      </c>
      <c r="H12" s="283">
        <f t="shared" si="2"/>
        <v>0</v>
      </c>
      <c r="I12" s="283">
        <f t="shared" si="2"/>
        <v>0</v>
      </c>
      <c r="J12" s="283">
        <f>SUM(J6:J11)</f>
        <v>0</v>
      </c>
      <c r="K12" s="283">
        <f>SUM(K6:K11)</f>
        <v>139320</v>
      </c>
      <c r="L12" s="283">
        <f t="shared" ref="L12:P12" si="3">SUM(L6:L11)</f>
        <v>0</v>
      </c>
      <c r="M12" s="283">
        <f>SUM(M6:M11)</f>
        <v>93120</v>
      </c>
      <c r="N12" s="283">
        <f t="shared" si="3"/>
        <v>46200</v>
      </c>
      <c r="O12" s="283">
        <f t="shared" si="3"/>
        <v>0</v>
      </c>
      <c r="P12" s="283">
        <f t="shared" si="3"/>
        <v>0</v>
      </c>
      <c r="Q12" s="274"/>
      <c r="R12" s="274"/>
    </row>
    <row r="13" spans="1:22" ht="111.75" customHeight="1" x14ac:dyDescent="2">
      <c r="A13" s="224">
        <f>+A11+1</f>
        <v>7</v>
      </c>
      <c r="B13" s="362" t="s">
        <v>29</v>
      </c>
      <c r="C13" s="346" t="s">
        <v>363</v>
      </c>
      <c r="D13" s="347"/>
      <c r="E13" s="276"/>
      <c r="F13" s="276"/>
      <c r="G13" s="276"/>
      <c r="H13" s="276"/>
      <c r="I13" s="276"/>
      <c r="J13" s="276"/>
      <c r="K13" s="276">
        <f>SUM(E13:J13)</f>
        <v>0</v>
      </c>
      <c r="L13" s="348"/>
      <c r="M13" s="348"/>
      <c r="N13" s="349"/>
      <c r="O13" s="348"/>
      <c r="P13" s="348"/>
      <c r="Q13" s="75"/>
      <c r="R13" s="75"/>
      <c r="S13" s="167"/>
      <c r="V13" s="75"/>
    </row>
    <row r="14" spans="1:22" s="192" customFormat="1" ht="117.75" customHeight="1" thickBot="1" x14ac:dyDescent="1.95">
      <c r="A14" s="475" t="s">
        <v>154</v>
      </c>
      <c r="B14" s="475"/>
      <c r="C14" s="476"/>
      <c r="D14" s="193"/>
      <c r="E14" s="298">
        <f>SUM(E13)</f>
        <v>0</v>
      </c>
      <c r="F14" s="298">
        <f>+F13</f>
        <v>0</v>
      </c>
      <c r="G14" s="298">
        <f t="shared" ref="G14" si="4">SUM(G13)</f>
        <v>0</v>
      </c>
      <c r="H14" s="298">
        <f>+H13</f>
        <v>0</v>
      </c>
      <c r="I14" s="298">
        <f>+I13</f>
        <v>0</v>
      </c>
      <c r="J14" s="298">
        <f t="shared" ref="J14" si="5">SUM(J13)</f>
        <v>0</v>
      </c>
      <c r="K14" s="298">
        <f>SUM(K13)</f>
        <v>0</v>
      </c>
      <c r="L14" s="298">
        <f t="shared" ref="L14:P14" si="6">SUM(L13)</f>
        <v>0</v>
      </c>
      <c r="M14" s="298">
        <f t="shared" si="6"/>
        <v>0</v>
      </c>
      <c r="N14" s="298">
        <f t="shared" si="6"/>
        <v>0</v>
      </c>
      <c r="O14" s="298">
        <f t="shared" si="6"/>
        <v>0</v>
      </c>
      <c r="P14" s="298">
        <f t="shared" si="6"/>
        <v>0</v>
      </c>
      <c r="R14" s="191"/>
      <c r="S14" s="194"/>
    </row>
    <row r="15" spans="1:22" ht="95.25" customHeight="1" x14ac:dyDescent="2">
      <c r="A15" s="227">
        <f>+A13+1</f>
        <v>8</v>
      </c>
      <c r="B15" s="228" t="s">
        <v>266</v>
      </c>
      <c r="C15" s="229" t="s">
        <v>250</v>
      </c>
      <c r="D15" s="230"/>
      <c r="E15" s="277">
        <v>2081</v>
      </c>
      <c r="F15" s="284"/>
      <c r="G15" s="285"/>
      <c r="H15" s="286"/>
      <c r="I15" s="341"/>
      <c r="J15" s="277"/>
      <c r="K15" s="277">
        <f>+E15+J15</f>
        <v>2081</v>
      </c>
      <c r="L15" s="280"/>
      <c r="M15" s="280"/>
      <c r="N15" s="280"/>
      <c r="O15" s="280"/>
      <c r="P15" s="280">
        <f>+K15</f>
        <v>2081</v>
      </c>
      <c r="Q15" s="75"/>
      <c r="R15" s="75"/>
      <c r="S15" s="168"/>
      <c r="V15" s="75"/>
    </row>
    <row r="16" spans="1:22" ht="95.25" customHeight="1" x14ac:dyDescent="2">
      <c r="A16" s="213">
        <f>+A15+1</f>
        <v>9</v>
      </c>
      <c r="B16" s="231" t="s">
        <v>267</v>
      </c>
      <c r="C16" s="232" t="s">
        <v>250</v>
      </c>
      <c r="D16" s="230"/>
      <c r="E16" s="277">
        <v>1613</v>
      </c>
      <c r="F16" s="277"/>
      <c r="G16" s="277"/>
      <c r="H16" s="277"/>
      <c r="I16" s="277"/>
      <c r="J16" s="277"/>
      <c r="K16" s="277">
        <f>SUM(E16:J16)</f>
        <v>1613</v>
      </c>
      <c r="L16" s="280"/>
      <c r="M16" s="280"/>
      <c r="N16" s="280"/>
      <c r="O16" s="280"/>
      <c r="P16" s="280">
        <f>+K16</f>
        <v>1613</v>
      </c>
      <c r="Q16" s="75"/>
      <c r="R16" s="75"/>
      <c r="S16" s="168"/>
      <c r="V16" s="75"/>
    </row>
    <row r="17" spans="1:22" ht="95.25" customHeight="1" x14ac:dyDescent="2">
      <c r="A17" s="213">
        <f t="shared" ref="A17:A30" si="7">+A16+1</f>
        <v>10</v>
      </c>
      <c r="B17" s="231" t="s">
        <v>268</v>
      </c>
      <c r="C17" s="232" t="s">
        <v>250</v>
      </c>
      <c r="D17" s="230"/>
      <c r="E17" s="277">
        <v>1975</v>
      </c>
      <c r="F17" s="277"/>
      <c r="G17" s="277"/>
      <c r="H17" s="277"/>
      <c r="I17" s="277"/>
      <c r="J17" s="277"/>
      <c r="K17" s="277">
        <f>+E17</f>
        <v>1975</v>
      </c>
      <c r="L17" s="280"/>
      <c r="M17" s="280"/>
      <c r="N17" s="280"/>
      <c r="O17" s="280"/>
      <c r="P17" s="280">
        <f>+K17</f>
        <v>1975</v>
      </c>
      <c r="Q17" s="75"/>
      <c r="R17" s="75"/>
      <c r="S17" s="168"/>
      <c r="V17" s="75"/>
    </row>
    <row r="18" spans="1:22" ht="95.25" customHeight="1" x14ac:dyDescent="2">
      <c r="A18" s="213">
        <f t="shared" si="7"/>
        <v>11</v>
      </c>
      <c r="B18" s="231" t="s">
        <v>269</v>
      </c>
      <c r="C18" s="232" t="s">
        <v>250</v>
      </c>
      <c r="D18" s="233"/>
      <c r="E18" s="277">
        <v>2965</v>
      </c>
      <c r="F18" s="277"/>
      <c r="G18" s="277"/>
      <c r="H18" s="277"/>
      <c r="I18" s="277"/>
      <c r="J18" s="277">
        <v>0</v>
      </c>
      <c r="K18" s="277">
        <f>+E18+F18</f>
        <v>2965</v>
      </c>
      <c r="L18" s="280"/>
      <c r="M18" s="280"/>
      <c r="N18" s="280"/>
      <c r="O18" s="280"/>
      <c r="P18" s="280">
        <f>+K18</f>
        <v>2965</v>
      </c>
      <c r="Q18" s="75"/>
      <c r="R18" s="75"/>
      <c r="S18" s="168"/>
      <c r="V18" s="75"/>
    </row>
    <row r="19" spans="1:22" ht="95.25" customHeight="1" x14ac:dyDescent="2">
      <c r="A19" s="213">
        <f t="shared" si="7"/>
        <v>12</v>
      </c>
      <c r="B19" s="231" t="s">
        <v>270</v>
      </c>
      <c r="C19" s="232" t="s">
        <v>250</v>
      </c>
      <c r="D19" s="230"/>
      <c r="E19" s="277">
        <v>2013</v>
      </c>
      <c r="F19" s="277"/>
      <c r="G19" s="277"/>
      <c r="H19" s="277"/>
      <c r="I19" s="277"/>
      <c r="J19" s="277"/>
      <c r="K19" s="277">
        <f>SUM(E19:J19)</f>
        <v>2013</v>
      </c>
      <c r="L19" s="280"/>
      <c r="M19" s="280"/>
      <c r="N19" s="280"/>
      <c r="O19" s="280"/>
      <c r="P19" s="280">
        <f>+K19</f>
        <v>2013</v>
      </c>
      <c r="Q19" s="75"/>
      <c r="R19" s="75"/>
      <c r="S19" s="168"/>
      <c r="V19" s="75"/>
    </row>
    <row r="20" spans="1:22" ht="95.25" customHeight="1" x14ac:dyDescent="2">
      <c r="A20" s="213">
        <f t="shared" si="7"/>
        <v>13</v>
      </c>
      <c r="B20" s="231" t="s">
        <v>271</v>
      </c>
      <c r="C20" s="232" t="s">
        <v>250</v>
      </c>
      <c r="D20" s="233"/>
      <c r="E20" s="477" t="s">
        <v>29</v>
      </c>
      <c r="F20" s="478"/>
      <c r="G20" s="478"/>
      <c r="H20" s="478"/>
      <c r="I20" s="478"/>
      <c r="J20" s="478"/>
      <c r="K20" s="479"/>
      <c r="L20" s="280"/>
      <c r="M20" s="280"/>
      <c r="N20" s="280"/>
      <c r="O20" s="280"/>
      <c r="P20" s="280"/>
      <c r="Q20" s="75"/>
      <c r="R20" s="75"/>
      <c r="S20" s="168"/>
      <c r="V20" s="75"/>
    </row>
    <row r="21" spans="1:22" ht="95.25" customHeight="1" x14ac:dyDescent="2">
      <c r="A21" s="213">
        <f t="shared" si="7"/>
        <v>14</v>
      </c>
      <c r="B21" s="231" t="s">
        <v>272</v>
      </c>
      <c r="C21" s="232" t="s">
        <v>250</v>
      </c>
      <c r="D21" s="230"/>
      <c r="E21" s="277">
        <v>1467</v>
      </c>
      <c r="F21" s="277"/>
      <c r="G21" s="277"/>
      <c r="H21" s="277"/>
      <c r="I21" s="277"/>
      <c r="J21" s="277"/>
      <c r="K21" s="277">
        <f>+E21</f>
        <v>1467</v>
      </c>
      <c r="L21" s="280"/>
      <c r="M21" s="280"/>
      <c r="N21" s="280"/>
      <c r="O21" s="280"/>
      <c r="P21" s="280">
        <f t="shared" ref="P21:P30" si="8">+K21</f>
        <v>1467</v>
      </c>
      <c r="Q21" s="75"/>
      <c r="R21" s="75"/>
      <c r="S21" s="168"/>
      <c r="V21" s="75"/>
    </row>
    <row r="22" spans="1:22" ht="95.25" customHeight="1" x14ac:dyDescent="2">
      <c r="A22" s="213">
        <f t="shared" si="7"/>
        <v>15</v>
      </c>
      <c r="B22" s="231" t="s">
        <v>273</v>
      </c>
      <c r="C22" s="232" t="s">
        <v>250</v>
      </c>
      <c r="D22" s="230"/>
      <c r="E22" s="277">
        <v>1867</v>
      </c>
      <c r="F22" s="277"/>
      <c r="G22" s="277"/>
      <c r="H22" s="277"/>
      <c r="I22" s="277"/>
      <c r="J22" s="277"/>
      <c r="K22" s="277">
        <f>+E22</f>
        <v>1867</v>
      </c>
      <c r="L22" s="280"/>
      <c r="M22" s="280"/>
      <c r="N22" s="280"/>
      <c r="O22" s="280"/>
      <c r="P22" s="280">
        <f t="shared" si="8"/>
        <v>1867</v>
      </c>
      <c r="Q22" s="75"/>
      <c r="R22" s="75"/>
      <c r="S22" s="168"/>
      <c r="V22" s="75"/>
    </row>
    <row r="23" spans="1:22" ht="95.25" customHeight="1" x14ac:dyDescent="2">
      <c r="A23" s="213">
        <f t="shared" si="7"/>
        <v>16</v>
      </c>
      <c r="B23" s="231" t="s">
        <v>274</v>
      </c>
      <c r="C23" s="232" t="s">
        <v>250</v>
      </c>
      <c r="D23" s="230"/>
      <c r="E23" s="477" t="s">
        <v>29</v>
      </c>
      <c r="F23" s="478"/>
      <c r="G23" s="478"/>
      <c r="H23" s="478"/>
      <c r="I23" s="478"/>
      <c r="J23" s="478"/>
      <c r="K23" s="479"/>
      <c r="L23" s="280"/>
      <c r="M23" s="280"/>
      <c r="N23" s="280"/>
      <c r="O23" s="280"/>
      <c r="P23" s="280"/>
      <c r="Q23" s="75"/>
      <c r="R23" s="75"/>
      <c r="S23" s="168"/>
      <c r="V23" s="75"/>
    </row>
    <row r="24" spans="1:22" ht="95.25" customHeight="1" x14ac:dyDescent="2">
      <c r="A24" s="213">
        <f t="shared" si="7"/>
        <v>17</v>
      </c>
      <c r="B24" s="231" t="s">
        <v>284</v>
      </c>
      <c r="C24" s="232" t="s">
        <v>250</v>
      </c>
      <c r="D24" s="233"/>
      <c r="E24" s="477" t="s">
        <v>29</v>
      </c>
      <c r="F24" s="478"/>
      <c r="G24" s="478"/>
      <c r="H24" s="478"/>
      <c r="I24" s="478"/>
      <c r="J24" s="478"/>
      <c r="K24" s="479"/>
      <c r="L24" s="280"/>
      <c r="M24" s="280"/>
      <c r="N24" s="280"/>
      <c r="O24" s="280"/>
      <c r="P24" s="280"/>
      <c r="Q24" s="75"/>
      <c r="R24" s="75"/>
      <c r="S24" s="168"/>
      <c r="V24" s="75"/>
    </row>
    <row r="25" spans="1:22" ht="95.25" customHeight="1" x14ac:dyDescent="2">
      <c r="A25" s="213">
        <f t="shared" si="7"/>
        <v>18</v>
      </c>
      <c r="B25" s="231" t="s">
        <v>282</v>
      </c>
      <c r="C25" s="232" t="s">
        <v>250</v>
      </c>
      <c r="D25" s="233"/>
      <c r="E25" s="277">
        <v>1577</v>
      </c>
      <c r="F25" s="277"/>
      <c r="G25" s="277"/>
      <c r="H25" s="277"/>
      <c r="I25" s="277"/>
      <c r="J25" s="277"/>
      <c r="K25" s="277">
        <f t="shared" ref="K25:K30" si="9">+E25</f>
        <v>1577</v>
      </c>
      <c r="L25" s="280"/>
      <c r="M25" s="280"/>
      <c r="N25" s="280"/>
      <c r="O25" s="280"/>
      <c r="P25" s="280">
        <f t="shared" si="8"/>
        <v>1577</v>
      </c>
      <c r="Q25" s="75"/>
      <c r="R25" s="75"/>
      <c r="S25" s="168"/>
      <c r="V25" s="75"/>
    </row>
    <row r="26" spans="1:22" ht="95.25" customHeight="1" x14ac:dyDescent="2">
      <c r="A26" s="213">
        <f t="shared" si="7"/>
        <v>19</v>
      </c>
      <c r="B26" s="231" t="s">
        <v>275</v>
      </c>
      <c r="C26" s="232" t="s">
        <v>250</v>
      </c>
      <c r="D26" s="230"/>
      <c r="E26" s="277">
        <v>1905</v>
      </c>
      <c r="F26" s="277"/>
      <c r="G26" s="277"/>
      <c r="H26" s="277"/>
      <c r="I26" s="277"/>
      <c r="J26" s="277"/>
      <c r="K26" s="277">
        <f t="shared" si="9"/>
        <v>1905</v>
      </c>
      <c r="L26" s="280"/>
      <c r="M26" s="280"/>
      <c r="N26" s="280"/>
      <c r="O26" s="280"/>
      <c r="P26" s="280">
        <f t="shared" si="8"/>
        <v>1905</v>
      </c>
      <c r="Q26" s="75"/>
      <c r="R26" s="75"/>
      <c r="S26" s="168"/>
      <c r="V26" s="75"/>
    </row>
    <row r="27" spans="1:22" ht="95.25" customHeight="1" x14ac:dyDescent="2">
      <c r="A27" s="213">
        <f t="shared" si="7"/>
        <v>20</v>
      </c>
      <c r="B27" s="231" t="s">
        <v>265</v>
      </c>
      <c r="C27" s="232" t="s">
        <v>250</v>
      </c>
      <c r="D27" s="230"/>
      <c r="E27" s="277">
        <v>2041</v>
      </c>
      <c r="F27" s="277"/>
      <c r="G27" s="277"/>
      <c r="H27" s="277"/>
      <c r="I27" s="277"/>
      <c r="J27" s="277"/>
      <c r="K27" s="277">
        <f t="shared" si="9"/>
        <v>2041</v>
      </c>
      <c r="L27" s="280"/>
      <c r="M27" s="280"/>
      <c r="N27" s="280"/>
      <c r="O27" s="280"/>
      <c r="P27" s="280">
        <f t="shared" si="8"/>
        <v>2041</v>
      </c>
      <c r="Q27" s="75"/>
      <c r="R27" s="75"/>
      <c r="S27" s="168"/>
      <c r="V27" s="75"/>
    </row>
    <row r="28" spans="1:22" ht="95.25" customHeight="1" x14ac:dyDescent="2">
      <c r="A28" s="213">
        <f t="shared" si="7"/>
        <v>21</v>
      </c>
      <c r="B28" s="231" t="s">
        <v>262</v>
      </c>
      <c r="C28" s="232" t="s">
        <v>250</v>
      </c>
      <c r="D28" s="233"/>
      <c r="E28" s="287">
        <v>1663</v>
      </c>
      <c r="F28" s="277"/>
      <c r="G28" s="277"/>
      <c r="H28" s="277"/>
      <c r="I28" s="277"/>
      <c r="J28" s="277"/>
      <c r="K28" s="277">
        <f t="shared" si="9"/>
        <v>1663</v>
      </c>
      <c r="L28" s="280"/>
      <c r="M28" s="280"/>
      <c r="N28" s="280"/>
      <c r="O28" s="280"/>
      <c r="P28" s="280">
        <f t="shared" si="8"/>
        <v>1663</v>
      </c>
      <c r="Q28" s="75"/>
      <c r="R28" s="75"/>
      <c r="S28" s="168"/>
      <c r="V28" s="75"/>
    </row>
    <row r="29" spans="1:22" ht="95.25" customHeight="1" x14ac:dyDescent="2">
      <c r="A29" s="213">
        <f t="shared" si="7"/>
        <v>22</v>
      </c>
      <c r="B29" s="231" t="s">
        <v>261</v>
      </c>
      <c r="C29" s="232" t="s">
        <v>250</v>
      </c>
      <c r="D29" s="230"/>
      <c r="E29" s="277">
        <v>2093</v>
      </c>
      <c r="F29" s="277"/>
      <c r="G29" s="277"/>
      <c r="H29" s="277"/>
      <c r="I29" s="277"/>
      <c r="J29" s="277"/>
      <c r="K29" s="277">
        <f>+J29+E29</f>
        <v>2093</v>
      </c>
      <c r="L29" s="280"/>
      <c r="M29" s="280"/>
      <c r="N29" s="280"/>
      <c r="O29" s="280"/>
      <c r="P29" s="280">
        <f t="shared" si="8"/>
        <v>2093</v>
      </c>
      <c r="Q29" s="75"/>
      <c r="R29" s="75"/>
      <c r="S29" s="168"/>
      <c r="V29" s="75"/>
    </row>
    <row r="30" spans="1:22" ht="95.25" customHeight="1" x14ac:dyDescent="2">
      <c r="A30" s="352">
        <f t="shared" si="7"/>
        <v>23</v>
      </c>
      <c r="B30" s="353" t="s">
        <v>260</v>
      </c>
      <c r="C30" s="354" t="s">
        <v>250</v>
      </c>
      <c r="D30" s="355"/>
      <c r="E30" s="356">
        <v>1691</v>
      </c>
      <c r="F30" s="356"/>
      <c r="G30" s="356"/>
      <c r="H30" s="356"/>
      <c r="I30" s="356"/>
      <c r="J30" s="356"/>
      <c r="K30" s="356">
        <f t="shared" si="9"/>
        <v>1691</v>
      </c>
      <c r="L30" s="357"/>
      <c r="M30" s="357"/>
      <c r="N30" s="357"/>
      <c r="O30" s="357"/>
      <c r="P30" s="357">
        <f t="shared" si="8"/>
        <v>1691</v>
      </c>
      <c r="Q30" s="75"/>
      <c r="R30" s="75"/>
      <c r="S30" s="167"/>
      <c r="V30" s="75"/>
    </row>
    <row r="31" spans="1:22" s="275" customFormat="1" ht="112.5" customHeight="1" thickBot="1" x14ac:dyDescent="1.95">
      <c r="A31" s="480" t="s">
        <v>259</v>
      </c>
      <c r="B31" s="480"/>
      <c r="C31" s="481"/>
      <c r="D31" s="300"/>
      <c r="E31" s="288">
        <f>SUM(E15:E30)</f>
        <v>24951</v>
      </c>
      <c r="F31" s="288">
        <f>SUM(F15:F30)</f>
        <v>0</v>
      </c>
      <c r="G31" s="288">
        <f t="shared" ref="G31" si="10">SUM(G15:G30)</f>
        <v>0</v>
      </c>
      <c r="H31" s="288">
        <f>SUM(H15:H30)</f>
        <v>0</v>
      </c>
      <c r="I31" s="288"/>
      <c r="J31" s="288">
        <f>SUM(J15:J30)</f>
        <v>0</v>
      </c>
      <c r="K31" s="288">
        <f>SUM(K15:K19)+K21+K22+K24+K25+K26+K27+K28+K29+K30+K23</f>
        <v>24951</v>
      </c>
      <c r="L31" s="288">
        <f t="shared" ref="L31:M31" si="11">SUM(L15:L30)</f>
        <v>0</v>
      </c>
      <c r="M31" s="288">
        <f t="shared" si="11"/>
        <v>0</v>
      </c>
      <c r="N31" s="288">
        <f>SUM(N15:N30)</f>
        <v>0</v>
      </c>
      <c r="O31" s="288">
        <f t="shared" ref="O31:P31" si="12">SUM(O15:O30)</f>
        <v>0</v>
      </c>
      <c r="P31" s="288">
        <f t="shared" si="12"/>
        <v>24951</v>
      </c>
      <c r="Q31" s="274"/>
      <c r="R31" s="274"/>
    </row>
    <row r="32" spans="1:22" ht="110.25" customHeight="1" x14ac:dyDescent="2">
      <c r="A32" s="234">
        <f>+A30+1</f>
        <v>24</v>
      </c>
      <c r="B32" s="235" t="s">
        <v>251</v>
      </c>
      <c r="C32" s="236" t="s">
        <v>252</v>
      </c>
      <c r="D32" s="226"/>
      <c r="E32" s="276">
        <v>27000</v>
      </c>
      <c r="F32" s="276"/>
      <c r="G32" s="276"/>
      <c r="H32" s="276"/>
      <c r="I32" s="276"/>
      <c r="J32" s="276"/>
      <c r="K32" s="276">
        <f>SUM(E32:J32)</f>
        <v>27000</v>
      </c>
      <c r="L32" s="289">
        <v>27000</v>
      </c>
      <c r="M32" s="290"/>
      <c r="N32" s="290"/>
      <c r="O32" s="290"/>
      <c r="P32" s="290"/>
      <c r="Q32" s="75"/>
      <c r="R32" s="75"/>
      <c r="S32" s="167"/>
      <c r="V32" s="75"/>
    </row>
    <row r="33" spans="1:22" ht="110.25" customHeight="1" x14ac:dyDescent="2">
      <c r="A33" s="237">
        <f>+A32+1</f>
        <v>25</v>
      </c>
      <c r="B33" s="334" t="s">
        <v>353</v>
      </c>
      <c r="C33" s="225" t="s">
        <v>279</v>
      </c>
      <c r="D33" s="226"/>
      <c r="E33" s="289">
        <v>40000</v>
      </c>
      <c r="F33" s="276"/>
      <c r="G33" s="291"/>
      <c r="H33" s="276">
        <v>-40000</v>
      </c>
      <c r="I33" s="276"/>
      <c r="J33" s="276"/>
      <c r="K33" s="276">
        <f t="shared" ref="K33:K45" si="13">SUM(E33:J33)</f>
        <v>0</v>
      </c>
      <c r="L33" s="290"/>
      <c r="M33" s="292" t="s">
        <v>285</v>
      </c>
      <c r="N33" s="290"/>
      <c r="O33" s="280"/>
      <c r="P33" s="280"/>
      <c r="Q33" s="75"/>
      <c r="R33" s="81"/>
      <c r="S33" s="167"/>
      <c r="V33" s="75"/>
    </row>
    <row r="34" spans="1:22" ht="110.25" customHeight="1" x14ac:dyDescent="2">
      <c r="A34" s="237">
        <f t="shared" ref="A34:A44" si="14">+A33+1</f>
        <v>26</v>
      </c>
      <c r="B34" s="238" t="s">
        <v>293</v>
      </c>
      <c r="C34" s="218" t="s">
        <v>294</v>
      </c>
      <c r="D34" s="219"/>
      <c r="E34" s="279"/>
      <c r="F34" s="277"/>
      <c r="G34" s="277"/>
      <c r="H34" s="276"/>
      <c r="I34" s="276"/>
      <c r="J34" s="277"/>
      <c r="K34" s="276">
        <f t="shared" si="13"/>
        <v>0</v>
      </c>
      <c r="L34" s="280"/>
      <c r="M34" s="280"/>
      <c r="N34" s="280"/>
      <c r="O34" s="293"/>
      <c r="P34" s="293"/>
      <c r="Q34" s="75"/>
      <c r="R34" s="75"/>
      <c r="S34" s="167"/>
      <c r="V34" s="75"/>
    </row>
    <row r="35" spans="1:22" ht="110.25" customHeight="1" x14ac:dyDescent="2">
      <c r="A35" s="237">
        <f t="shared" si="14"/>
        <v>27</v>
      </c>
      <c r="B35" s="220" t="s">
        <v>332</v>
      </c>
      <c r="C35" s="218" t="s">
        <v>253</v>
      </c>
      <c r="D35" s="219"/>
      <c r="E35" s="279">
        <v>18150</v>
      </c>
      <c r="F35" s="277"/>
      <c r="G35" s="277"/>
      <c r="H35" s="276"/>
      <c r="I35" s="276"/>
      <c r="J35" s="277"/>
      <c r="K35" s="276">
        <f t="shared" si="13"/>
        <v>18150</v>
      </c>
      <c r="L35" s="280"/>
      <c r="M35" s="280"/>
      <c r="N35" s="280"/>
      <c r="O35" s="293">
        <f>+K35</f>
        <v>18150</v>
      </c>
      <c r="P35" s="293"/>
      <c r="Q35" s="75"/>
      <c r="R35" s="75"/>
      <c r="S35" s="167"/>
      <c r="V35" s="75"/>
    </row>
    <row r="36" spans="1:22" ht="110.25" customHeight="1" x14ac:dyDescent="2">
      <c r="A36" s="237">
        <f t="shared" si="14"/>
        <v>28</v>
      </c>
      <c r="B36" s="220" t="s">
        <v>254</v>
      </c>
      <c r="C36" s="218" t="s">
        <v>263</v>
      </c>
      <c r="D36" s="219"/>
      <c r="E36" s="293">
        <v>5324</v>
      </c>
      <c r="F36" s="280"/>
      <c r="G36" s="280"/>
      <c r="H36" s="290"/>
      <c r="I36" s="290"/>
      <c r="J36" s="280"/>
      <c r="K36" s="276">
        <f t="shared" si="13"/>
        <v>5324</v>
      </c>
      <c r="L36" s="280"/>
      <c r="M36" s="280"/>
      <c r="N36" s="280"/>
      <c r="O36" s="293">
        <f>+K36</f>
        <v>5324</v>
      </c>
      <c r="P36" s="293"/>
      <c r="Q36" s="75"/>
      <c r="R36" s="75"/>
      <c r="S36" s="167"/>
      <c r="V36" s="75"/>
    </row>
    <row r="37" spans="1:22" ht="110.25" customHeight="1" x14ac:dyDescent="2">
      <c r="A37" s="237">
        <f t="shared" si="14"/>
        <v>29</v>
      </c>
      <c r="B37" s="220" t="s">
        <v>6</v>
      </c>
      <c r="C37" s="218" t="s">
        <v>264</v>
      </c>
      <c r="D37" s="219"/>
      <c r="E37" s="293">
        <v>5324</v>
      </c>
      <c r="F37" s="280"/>
      <c r="G37" s="280"/>
      <c r="H37" s="290"/>
      <c r="I37" s="290"/>
      <c r="J37" s="280"/>
      <c r="K37" s="276">
        <f t="shared" si="13"/>
        <v>5324</v>
      </c>
      <c r="L37" s="280"/>
      <c r="M37" s="280"/>
      <c r="N37" s="280"/>
      <c r="O37" s="293">
        <f>+K37</f>
        <v>5324</v>
      </c>
      <c r="P37" s="293"/>
      <c r="Q37" s="75"/>
      <c r="R37" s="75"/>
      <c r="S37" s="167"/>
      <c r="V37" s="75"/>
    </row>
    <row r="38" spans="1:22" ht="110.25" customHeight="1" x14ac:dyDescent="2">
      <c r="A38" s="237">
        <f t="shared" si="14"/>
        <v>30</v>
      </c>
      <c r="B38" s="220" t="s">
        <v>333</v>
      </c>
      <c r="C38" s="218" t="s">
        <v>132</v>
      </c>
      <c r="D38" s="239"/>
      <c r="E38" s="294">
        <v>3800</v>
      </c>
      <c r="F38" s="294"/>
      <c r="G38" s="294"/>
      <c r="H38" s="295"/>
      <c r="I38" s="295"/>
      <c r="J38" s="294"/>
      <c r="K38" s="276">
        <f t="shared" si="13"/>
        <v>3800</v>
      </c>
      <c r="L38" s="294"/>
      <c r="M38" s="294"/>
      <c r="N38" s="294"/>
      <c r="O38" s="293">
        <v>3800</v>
      </c>
      <c r="P38" s="293"/>
      <c r="Q38" s="75"/>
      <c r="R38" s="75"/>
      <c r="S38" s="167"/>
      <c r="V38" s="75"/>
    </row>
    <row r="39" spans="1:22" ht="110.25" customHeight="1" x14ac:dyDescent="2">
      <c r="A39" s="237">
        <f t="shared" si="14"/>
        <v>31</v>
      </c>
      <c r="B39" s="220" t="s">
        <v>334</v>
      </c>
      <c r="C39" s="218" t="s">
        <v>132</v>
      </c>
      <c r="D39" s="239"/>
      <c r="E39" s="294">
        <v>6748</v>
      </c>
      <c r="F39" s="294"/>
      <c r="G39" s="294"/>
      <c r="H39" s="295"/>
      <c r="I39" s="295"/>
      <c r="J39" s="294"/>
      <c r="K39" s="276">
        <f t="shared" si="13"/>
        <v>6748</v>
      </c>
      <c r="L39" s="294"/>
      <c r="M39" s="294"/>
      <c r="N39" s="294"/>
      <c r="O39" s="279">
        <f>+K39</f>
        <v>6748</v>
      </c>
      <c r="P39" s="293"/>
      <c r="Q39" s="75"/>
      <c r="R39" s="75"/>
      <c r="S39" s="167"/>
      <c r="V39" s="75"/>
    </row>
    <row r="40" spans="1:22" ht="110.25" customHeight="1" x14ac:dyDescent="2">
      <c r="A40" s="237">
        <f t="shared" si="14"/>
        <v>32</v>
      </c>
      <c r="B40" s="220" t="s">
        <v>335</v>
      </c>
      <c r="C40" s="218" t="s">
        <v>132</v>
      </c>
      <c r="D40" s="239"/>
      <c r="E40" s="294">
        <v>4008</v>
      </c>
      <c r="F40" s="294"/>
      <c r="G40" s="294"/>
      <c r="H40" s="295"/>
      <c r="I40" s="295"/>
      <c r="J40" s="294"/>
      <c r="K40" s="276">
        <v>0</v>
      </c>
      <c r="L40" s="294"/>
      <c r="M40" s="294"/>
      <c r="N40" s="294"/>
      <c r="O40" s="366" t="s">
        <v>395</v>
      </c>
      <c r="P40" s="293"/>
      <c r="Q40" s="75"/>
      <c r="R40" s="75"/>
      <c r="S40" s="167"/>
      <c r="V40" s="75"/>
    </row>
    <row r="41" spans="1:22" ht="110.25" customHeight="1" x14ac:dyDescent="2">
      <c r="A41" s="237">
        <f t="shared" si="14"/>
        <v>33</v>
      </c>
      <c r="B41" s="220" t="s">
        <v>336</v>
      </c>
      <c r="C41" s="218" t="s">
        <v>132</v>
      </c>
      <c r="D41" s="239"/>
      <c r="E41" s="294">
        <v>7240</v>
      </c>
      <c r="F41" s="294"/>
      <c r="G41" s="294"/>
      <c r="H41" s="295"/>
      <c r="I41" s="295"/>
      <c r="J41" s="294"/>
      <c r="K41" s="276">
        <f t="shared" si="13"/>
        <v>7240</v>
      </c>
      <c r="L41" s="294"/>
      <c r="M41" s="294"/>
      <c r="N41" s="294"/>
      <c r="O41" s="279">
        <f t="shared" ref="O41" si="15">+K41</f>
        <v>7240</v>
      </c>
      <c r="P41" s="293"/>
      <c r="Q41" s="75"/>
      <c r="R41" s="75"/>
      <c r="S41" s="167"/>
      <c r="V41" s="75"/>
    </row>
    <row r="42" spans="1:22" ht="110.25" customHeight="1" x14ac:dyDescent="2">
      <c r="A42" s="237">
        <f t="shared" si="14"/>
        <v>34</v>
      </c>
      <c r="B42" s="220" t="s">
        <v>150</v>
      </c>
      <c r="C42" s="218" t="s">
        <v>89</v>
      </c>
      <c r="D42" s="239"/>
      <c r="E42" s="294">
        <v>6000</v>
      </c>
      <c r="F42" s="294"/>
      <c r="G42" s="294"/>
      <c r="H42" s="276">
        <v>-6000</v>
      </c>
      <c r="I42" s="295"/>
      <c r="J42" s="294"/>
      <c r="K42" s="276">
        <f t="shared" si="13"/>
        <v>0</v>
      </c>
      <c r="L42" s="294"/>
      <c r="M42" s="294"/>
      <c r="N42" s="294"/>
      <c r="O42" s="292" t="s">
        <v>285</v>
      </c>
      <c r="P42" s="293"/>
      <c r="Q42" s="75"/>
      <c r="R42" s="75"/>
      <c r="S42" s="167"/>
      <c r="V42" s="75"/>
    </row>
    <row r="43" spans="1:22" ht="110.25" customHeight="1" x14ac:dyDescent="2">
      <c r="A43" s="237">
        <f t="shared" si="14"/>
        <v>35</v>
      </c>
      <c r="B43" s="220" t="s">
        <v>189</v>
      </c>
      <c r="C43" s="218" t="s">
        <v>187</v>
      </c>
      <c r="D43" s="239"/>
      <c r="E43" s="294">
        <v>400</v>
      </c>
      <c r="F43" s="294"/>
      <c r="G43" s="294"/>
      <c r="H43" s="276">
        <v>-400</v>
      </c>
      <c r="I43" s="294"/>
      <c r="J43" s="294"/>
      <c r="K43" s="276">
        <f t="shared" si="13"/>
        <v>0</v>
      </c>
      <c r="L43" s="294"/>
      <c r="M43" s="294"/>
      <c r="N43" s="294"/>
      <c r="O43" s="292" t="s">
        <v>285</v>
      </c>
      <c r="P43" s="293"/>
      <c r="Q43" s="75"/>
      <c r="R43" s="75"/>
      <c r="S43" s="167"/>
      <c r="V43" s="75"/>
    </row>
    <row r="44" spans="1:22" ht="110.25" customHeight="1" x14ac:dyDescent="2">
      <c r="A44" s="237">
        <f t="shared" si="14"/>
        <v>36</v>
      </c>
      <c r="B44" s="220" t="s">
        <v>192</v>
      </c>
      <c r="C44" s="218" t="s">
        <v>190</v>
      </c>
      <c r="D44" s="239"/>
      <c r="E44" s="294">
        <v>1500</v>
      </c>
      <c r="F44" s="294"/>
      <c r="G44" s="294"/>
      <c r="H44" s="276">
        <v>-1500</v>
      </c>
      <c r="I44" s="294"/>
      <c r="J44" s="294"/>
      <c r="K44" s="276">
        <f t="shared" si="13"/>
        <v>0</v>
      </c>
      <c r="L44" s="294"/>
      <c r="M44" s="294"/>
      <c r="N44" s="294"/>
      <c r="O44" s="292" t="s">
        <v>285</v>
      </c>
      <c r="P44" s="293"/>
      <c r="Q44" s="75"/>
      <c r="R44" s="75"/>
      <c r="S44" s="167"/>
      <c r="V44" s="75"/>
    </row>
    <row r="45" spans="1:22" ht="110.25" customHeight="1" x14ac:dyDescent="2">
      <c r="A45" s="237">
        <f>+A44+1</f>
        <v>37</v>
      </c>
      <c r="B45" s="220" t="s">
        <v>152</v>
      </c>
      <c r="C45" s="218" t="s">
        <v>168</v>
      </c>
      <c r="D45" s="239"/>
      <c r="E45" s="294">
        <v>600</v>
      </c>
      <c r="F45" s="294"/>
      <c r="G45" s="294"/>
      <c r="H45" s="276">
        <v>-600</v>
      </c>
      <c r="I45" s="294"/>
      <c r="J45" s="294"/>
      <c r="K45" s="276">
        <f t="shared" si="13"/>
        <v>0</v>
      </c>
      <c r="L45" s="294"/>
      <c r="M45" s="294"/>
      <c r="N45" s="294"/>
      <c r="O45" s="292" t="s">
        <v>285</v>
      </c>
      <c r="P45" s="293"/>
      <c r="Q45" s="75"/>
      <c r="R45" s="75"/>
      <c r="S45" s="167"/>
      <c r="V45" s="75"/>
    </row>
    <row r="46" spans="1:22" s="259" customFormat="1" ht="110.25" customHeight="1" thickBot="1" x14ac:dyDescent="1.95">
      <c r="A46" s="482" t="s">
        <v>255</v>
      </c>
      <c r="B46" s="483"/>
      <c r="C46" s="483"/>
      <c r="D46" s="257"/>
      <c r="E46" s="296">
        <f>SUM(E32:E45)</f>
        <v>126094</v>
      </c>
      <c r="F46" s="296">
        <f>SUM(F32:F45)</f>
        <v>0</v>
      </c>
      <c r="G46" s="296">
        <f>SUM(G32:G45)</f>
        <v>0</v>
      </c>
      <c r="H46" s="296">
        <f>SUM(H32:H45)</f>
        <v>-48500</v>
      </c>
      <c r="I46" s="296"/>
      <c r="J46" s="296">
        <f t="shared" ref="J46:P46" si="16">SUM(J32:J45)</f>
        <v>0</v>
      </c>
      <c r="K46" s="296">
        <f t="shared" si="16"/>
        <v>73586</v>
      </c>
      <c r="L46" s="296">
        <f t="shared" si="16"/>
        <v>27000</v>
      </c>
      <c r="M46" s="297">
        <f t="shared" si="16"/>
        <v>0</v>
      </c>
      <c r="N46" s="297">
        <f t="shared" si="16"/>
        <v>0</v>
      </c>
      <c r="O46" s="297">
        <f t="shared" si="16"/>
        <v>46586</v>
      </c>
      <c r="P46" s="297">
        <f t="shared" si="16"/>
        <v>0</v>
      </c>
      <c r="Q46" s="258"/>
    </row>
    <row r="47" spans="1:22" s="275" customFormat="1" ht="110.25" customHeight="1" thickBot="1" x14ac:dyDescent="1.95">
      <c r="A47" s="485" t="s">
        <v>22</v>
      </c>
      <c r="B47" s="486"/>
      <c r="C47" s="486"/>
      <c r="D47" s="271"/>
      <c r="E47" s="335">
        <f t="shared" ref="E47:P47" si="17">+E46+E31+E14+E12</f>
        <v>290365</v>
      </c>
      <c r="F47" s="272">
        <f t="shared" si="17"/>
        <v>0</v>
      </c>
      <c r="G47" s="272">
        <f t="shared" si="17"/>
        <v>0</v>
      </c>
      <c r="H47" s="272">
        <f t="shared" si="17"/>
        <v>-48500</v>
      </c>
      <c r="I47" s="272">
        <f t="shared" si="17"/>
        <v>0</v>
      </c>
      <c r="J47" s="272">
        <f t="shared" si="17"/>
        <v>0</v>
      </c>
      <c r="K47" s="338">
        <f t="shared" si="17"/>
        <v>237857</v>
      </c>
      <c r="L47" s="272">
        <f t="shared" si="17"/>
        <v>27000</v>
      </c>
      <c r="M47" s="272">
        <f t="shared" si="17"/>
        <v>93120</v>
      </c>
      <c r="N47" s="272">
        <f t="shared" si="17"/>
        <v>46200</v>
      </c>
      <c r="O47" s="273">
        <f t="shared" si="17"/>
        <v>46586</v>
      </c>
      <c r="P47" s="273">
        <f t="shared" si="17"/>
        <v>24951</v>
      </c>
      <c r="Q47" s="274"/>
      <c r="R47" s="274"/>
    </row>
    <row r="48" spans="1:22" s="82" customFormat="1" ht="26.25" customHeight="1" thickTop="1" x14ac:dyDescent="2">
      <c r="C48" s="83"/>
      <c r="D48" s="83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V48" s="167"/>
    </row>
    <row r="49" spans="1:26" s="82" customFormat="1" ht="89.25" hidden="1" customHeight="1" x14ac:dyDescent="1.75">
      <c r="B49" s="487"/>
      <c r="C49" s="487"/>
      <c r="D49" s="487"/>
      <c r="E49" s="487"/>
      <c r="F49" s="487"/>
      <c r="G49" s="86"/>
      <c r="H49" s="84"/>
      <c r="I49" s="84"/>
      <c r="J49" s="84"/>
      <c r="K49" s="488" t="s">
        <v>322</v>
      </c>
      <c r="L49" s="488"/>
      <c r="M49" s="488"/>
      <c r="N49" s="488"/>
      <c r="O49" s="488"/>
      <c r="P49" s="488"/>
      <c r="Q49" s="189"/>
      <c r="R49" s="189"/>
      <c r="S49" s="189"/>
      <c r="T49" s="189"/>
    </row>
    <row r="50" spans="1:26" s="82" customFormat="1" ht="119.25" hidden="1" customHeight="1" x14ac:dyDescent="1.85">
      <c r="B50" s="196"/>
      <c r="C50" s="183"/>
      <c r="E50" s="489"/>
      <c r="F50" s="489"/>
      <c r="H50" s="86"/>
      <c r="I50" s="86"/>
      <c r="L50" s="179" t="s">
        <v>325</v>
      </c>
      <c r="M50" s="195" t="str">
        <f>+M5</f>
        <v xml:space="preserve">กสิกร 119-3-21759-8 </v>
      </c>
      <c r="N50" s="180" t="str">
        <f>+N5</f>
        <v xml:space="preserve">กสิกร 119-3-21471-8  </v>
      </c>
      <c r="O50" s="180" t="str">
        <f>+O5</f>
        <v>SCB 611-281075-3</v>
      </c>
      <c r="P50" s="180" t="str">
        <f>+P5</f>
        <v>SCB 611-261071-1</v>
      </c>
      <c r="Q50" s="187" t="s">
        <v>28</v>
      </c>
      <c r="S50" s="85"/>
    </row>
    <row r="51" spans="1:26" s="82" customFormat="1" ht="119.25" hidden="1" customHeight="1" x14ac:dyDescent="1.85">
      <c r="B51" s="196"/>
      <c r="C51" s="183"/>
      <c r="E51" s="489"/>
      <c r="F51" s="489"/>
      <c r="G51" s="240"/>
      <c r="H51" s="90" t="s">
        <v>256</v>
      </c>
      <c r="I51" s="90"/>
      <c r="L51" s="170">
        <v>311114.19</v>
      </c>
      <c r="M51" s="170">
        <v>891.10000000000582</v>
      </c>
      <c r="N51" s="170">
        <v>488.62000000000262</v>
      </c>
      <c r="O51" s="170">
        <v>536.72000000000116</v>
      </c>
      <c r="P51" s="170">
        <v>500</v>
      </c>
      <c r="Q51" s="172">
        <f>SUM(L51:P51)</f>
        <v>313530.63</v>
      </c>
      <c r="S51" s="87"/>
    </row>
    <row r="52" spans="1:26" s="82" customFormat="1" ht="119.25" hidden="1" customHeight="1" x14ac:dyDescent="1.85">
      <c r="B52" s="196"/>
      <c r="C52" s="183"/>
      <c r="E52" s="490"/>
      <c r="F52" s="490"/>
      <c r="G52" s="240"/>
      <c r="H52" s="90" t="s">
        <v>319</v>
      </c>
      <c r="I52" s="90"/>
      <c r="L52" s="173">
        <v>27000</v>
      </c>
      <c r="M52" s="173">
        <f>+M47</f>
        <v>93120</v>
      </c>
      <c r="N52" s="174">
        <f>+N47</f>
        <v>46200</v>
      </c>
      <c r="O52" s="174">
        <f>+O47</f>
        <v>46586</v>
      </c>
      <c r="P52" s="174">
        <f>+P47</f>
        <v>24951</v>
      </c>
      <c r="Q52" s="181">
        <f>SUM(L52:P52)</f>
        <v>237857</v>
      </c>
      <c r="S52" s="85"/>
    </row>
    <row r="53" spans="1:26" s="82" customFormat="1" ht="119.25" hidden="1" customHeight="1" x14ac:dyDescent="1.85">
      <c r="B53" s="196"/>
      <c r="C53" s="183"/>
      <c r="E53" s="490"/>
      <c r="F53" s="490"/>
      <c r="G53" s="240"/>
      <c r="H53" s="90" t="s">
        <v>320</v>
      </c>
      <c r="I53" s="90"/>
      <c r="L53" s="176">
        <f>+L51-L52</f>
        <v>284114.19</v>
      </c>
      <c r="M53" s="176">
        <f>SUM(M52:M52)</f>
        <v>93120</v>
      </c>
      <c r="N53" s="176">
        <f>SUM(N52:N52)</f>
        <v>46200</v>
      </c>
      <c r="O53" s="176">
        <f>SUM(O52:O52)</f>
        <v>46586</v>
      </c>
      <c r="P53" s="176">
        <f>SUM(P52:P52)</f>
        <v>24951</v>
      </c>
      <c r="Q53" s="177">
        <f>SUM(L53:P53)</f>
        <v>494971.19</v>
      </c>
      <c r="S53" s="85"/>
    </row>
    <row r="54" spans="1:26" s="82" customFormat="1" ht="106.5" hidden="1" customHeight="1" x14ac:dyDescent="1.9">
      <c r="B54" s="206"/>
      <c r="C54" s="183"/>
      <c r="E54" s="491"/>
      <c r="F54" s="491"/>
      <c r="G54" s="240"/>
      <c r="H54" s="90" t="s">
        <v>321</v>
      </c>
      <c r="I54" s="90"/>
      <c r="L54" s="175"/>
      <c r="M54" s="175">
        <f>+M52</f>
        <v>93120</v>
      </c>
      <c r="N54" s="175">
        <f>+N52</f>
        <v>46200</v>
      </c>
      <c r="O54" s="175">
        <f>+O52</f>
        <v>46586</v>
      </c>
      <c r="P54" s="175">
        <f>+P52</f>
        <v>24951</v>
      </c>
      <c r="Q54" s="178">
        <f>SUM(M54:P54)</f>
        <v>210857</v>
      </c>
    </row>
    <row r="55" spans="1:26" s="82" customFormat="1" ht="109.5" hidden="1" customHeight="1" thickBot="1" x14ac:dyDescent="1.95">
      <c r="A55" s="88"/>
      <c r="B55" s="196"/>
      <c r="C55" s="183"/>
      <c r="E55" s="490"/>
      <c r="F55" s="490"/>
      <c r="G55" s="240"/>
      <c r="H55" s="182" t="s">
        <v>257</v>
      </c>
      <c r="I55" s="182"/>
      <c r="L55" s="190">
        <f t="shared" ref="L55:P55" si="18">+L51+L52-L54</f>
        <v>338114.19</v>
      </c>
      <c r="M55" s="190">
        <f t="shared" si="18"/>
        <v>891.10000000000582</v>
      </c>
      <c r="N55" s="190">
        <f t="shared" si="18"/>
        <v>488.62000000000262</v>
      </c>
      <c r="O55" s="190">
        <f t="shared" si="18"/>
        <v>536.72000000000116</v>
      </c>
      <c r="P55" s="190">
        <f t="shared" si="18"/>
        <v>500</v>
      </c>
      <c r="Q55" s="190">
        <f>+Q51+Q52-Q54</f>
        <v>340530.63</v>
      </c>
      <c r="R55" s="85">
        <f>+L55+M55+N55+O55+P55-Q55</f>
        <v>0</v>
      </c>
      <c r="S55" s="89"/>
    </row>
    <row r="56" spans="1:26" s="82" customFormat="1" ht="93.75" hidden="1" x14ac:dyDescent="1.9">
      <c r="A56" s="88"/>
      <c r="B56" s="196"/>
      <c r="C56" s="183"/>
      <c r="E56" s="490"/>
      <c r="F56" s="490"/>
      <c r="G56" s="240"/>
      <c r="H56" s="182"/>
      <c r="I56" s="182"/>
      <c r="K56" s="205"/>
      <c r="L56" s="205"/>
      <c r="M56" s="205"/>
      <c r="N56" s="205"/>
      <c r="O56" s="205"/>
      <c r="P56" s="205"/>
      <c r="R56" s="89"/>
    </row>
    <row r="57" spans="1:26" s="82" customFormat="1" hidden="1" x14ac:dyDescent="2">
      <c r="A57" s="75"/>
      <c r="B57" s="197"/>
      <c r="C57" s="183"/>
      <c r="E57" s="492"/>
      <c r="F57" s="492"/>
      <c r="G57" s="76"/>
      <c r="J57" s="77"/>
      <c r="K57" s="77"/>
      <c r="L57" s="171"/>
      <c r="M57" s="171"/>
      <c r="N57" s="171"/>
      <c r="O57" s="77"/>
      <c r="P57" s="77"/>
      <c r="Q57" s="77"/>
      <c r="R57" s="77"/>
      <c r="S57" s="77"/>
      <c r="T57" s="75"/>
      <c r="U57" s="169"/>
      <c r="V57" s="75"/>
    </row>
    <row r="58" spans="1:26" ht="117.75" hidden="1" customHeight="1" x14ac:dyDescent="2">
      <c r="C58" s="484"/>
      <c r="D58" s="484"/>
      <c r="E58" s="76"/>
      <c r="F58" s="76"/>
      <c r="G58" s="76"/>
      <c r="V58" s="169"/>
    </row>
    <row r="59" spans="1:26" ht="117.75" hidden="1" customHeight="1" x14ac:dyDescent="2">
      <c r="C59" s="78"/>
      <c r="E59" s="76"/>
      <c r="F59" s="76"/>
      <c r="G59" s="76"/>
      <c r="K59" s="77">
        <f>+L55-338114.19</f>
        <v>0</v>
      </c>
      <c r="N59" s="77">
        <f>+O55-536.72</f>
        <v>1.1368683772161603E-12</v>
      </c>
      <c r="O59" s="77">
        <f>+P55-500</f>
        <v>0</v>
      </c>
    </row>
    <row r="60" spans="1:26" hidden="1" x14ac:dyDescent="2">
      <c r="E60" s="76"/>
      <c r="F60" s="76"/>
      <c r="G60" s="76"/>
    </row>
    <row r="61" spans="1:26" x14ac:dyDescent="2">
      <c r="E61" s="76"/>
      <c r="F61" s="76"/>
      <c r="G61" s="76"/>
    </row>
    <row r="62" spans="1:26" x14ac:dyDescent="2">
      <c r="K62" s="79"/>
    </row>
    <row r="63" spans="1:26" s="77" customFormat="1" x14ac:dyDescent="2">
      <c r="A63" s="75"/>
      <c r="B63" s="75"/>
      <c r="C63" s="80"/>
      <c r="D63" s="80"/>
      <c r="T63" s="75"/>
      <c r="U63" s="75"/>
      <c r="V63" s="167"/>
      <c r="W63" s="75"/>
      <c r="X63" s="75"/>
      <c r="Y63" s="75"/>
      <c r="Z63" s="75"/>
    </row>
  </sheetData>
  <mergeCells count="25">
    <mergeCell ref="C58:D58"/>
    <mergeCell ref="E52:F52"/>
    <mergeCell ref="E53:F53"/>
    <mergeCell ref="E54:F54"/>
    <mergeCell ref="E55:F55"/>
    <mergeCell ref="E56:F56"/>
    <mergeCell ref="E57:F57"/>
    <mergeCell ref="E51:F51"/>
    <mergeCell ref="A12:C12"/>
    <mergeCell ref="A14:C14"/>
    <mergeCell ref="E20:K20"/>
    <mergeCell ref="E23:K23"/>
    <mergeCell ref="E24:K24"/>
    <mergeCell ref="A31:C31"/>
    <mergeCell ref="A46:C46"/>
    <mergeCell ref="A47:C47"/>
    <mergeCell ref="B49:F49"/>
    <mergeCell ref="K49:P49"/>
    <mergeCell ref="E50:F50"/>
    <mergeCell ref="A1:P1"/>
    <mergeCell ref="A2:P2"/>
    <mergeCell ref="A4:A5"/>
    <mergeCell ref="B4:B5"/>
    <mergeCell ref="C4:C5"/>
    <mergeCell ref="E4:K4"/>
  </mergeCells>
  <pageMargins left="0.15748031496062992" right="3.937007874015748E-2" top="0.19" bottom="0.17" header="0.15748031496062992" footer="0.17"/>
  <pageSetup paperSize="5" scale="20" orientation="landscape" verticalDpi="0" r:id="rId1"/>
  <rowBreaks count="2" manualBreakCount="2">
    <brk id="58" max="17" man="1"/>
    <brk id="59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20DC-EEDC-4FED-B469-81393F62E57B}">
  <dimension ref="A1:Z64"/>
  <sheetViews>
    <sheetView zoomScale="20" zoomScaleNormal="20" zoomScaleSheetLayoutView="20" workbookViewId="0">
      <pane xSplit="2" ySplit="5" topLeftCell="C33" activePane="bottomRight" state="frozen"/>
      <selection pane="topRight" activeCell="C1" sqref="C1"/>
      <selection pane="bottomLeft" activeCell="A7" sqref="A7"/>
      <selection pane="bottomRight" activeCell="K38" sqref="K38"/>
    </sheetView>
  </sheetViews>
  <sheetFormatPr defaultColWidth="8.75" defaultRowHeight="102" x14ac:dyDescent="2"/>
  <cols>
    <col min="1" max="1" width="9.125" style="75" bestFit="1" customWidth="1"/>
    <col min="2" max="2" width="143.875" style="75" customWidth="1"/>
    <col min="3" max="3" width="46" style="80" customWidth="1"/>
    <col min="4" max="4" width="50.625" style="80" customWidth="1"/>
    <col min="5" max="5" width="45.75" style="77" bestFit="1" customWidth="1"/>
    <col min="6" max="6" width="39.375" style="77" hidden="1" customWidth="1"/>
    <col min="7" max="7" width="47" style="77" customWidth="1"/>
    <col min="8" max="8" width="52.25" style="77" customWidth="1"/>
    <col min="9" max="9" width="48.5" style="77" hidden="1" customWidth="1"/>
    <col min="10" max="10" width="43" style="77" customWidth="1"/>
    <col min="11" max="11" width="52" style="77" customWidth="1"/>
    <col min="12" max="12" width="58.75" style="77" customWidth="1"/>
    <col min="13" max="13" width="65.75" style="77" customWidth="1"/>
    <col min="14" max="14" width="64.25" style="77" customWidth="1"/>
    <col min="15" max="15" width="74.5" style="77" customWidth="1"/>
    <col min="16" max="16" width="68.625" style="77" customWidth="1"/>
    <col min="17" max="17" width="71.75" style="77" bestFit="1" customWidth="1"/>
    <col min="18" max="18" width="64.75" style="77" customWidth="1"/>
    <col min="19" max="19" width="65" style="77" customWidth="1"/>
    <col min="20" max="20" width="47.125" style="75" bestFit="1" customWidth="1"/>
    <col min="21" max="21" width="30.75" style="75" bestFit="1" customWidth="1"/>
    <col min="22" max="22" width="43.125" style="167" customWidth="1"/>
    <col min="23" max="16384" width="8.75" style="75"/>
  </cols>
  <sheetData>
    <row r="1" spans="1:22" ht="85.5" customHeight="1" x14ac:dyDescent="2">
      <c r="A1" s="462" t="s">
        <v>238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192"/>
      <c r="R1" s="192"/>
      <c r="S1" s="192"/>
      <c r="T1" s="192"/>
    </row>
    <row r="2" spans="1:22" s="184" customFormat="1" ht="78" customHeight="1" x14ac:dyDescent="0.2">
      <c r="A2" s="463" t="s">
        <v>390</v>
      </c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202"/>
      <c r="R2" s="202"/>
      <c r="S2" s="202"/>
      <c r="T2" s="202"/>
      <c r="V2" s="185"/>
    </row>
    <row r="3" spans="1:22" ht="18" customHeight="1" x14ac:dyDescent="2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</row>
    <row r="4" spans="1:22" s="199" customFormat="1" ht="89.25" customHeight="1" x14ac:dyDescent="1.45">
      <c r="A4" s="464" t="s">
        <v>0</v>
      </c>
      <c r="B4" s="464" t="s">
        <v>239</v>
      </c>
      <c r="C4" s="493" t="s">
        <v>9</v>
      </c>
      <c r="D4" s="198"/>
      <c r="E4" s="495" t="s">
        <v>316</v>
      </c>
      <c r="F4" s="496"/>
      <c r="G4" s="496"/>
      <c r="H4" s="496"/>
      <c r="I4" s="496"/>
      <c r="J4" s="496"/>
      <c r="K4" s="497"/>
      <c r="L4" s="260" t="s">
        <v>240</v>
      </c>
      <c r="M4" s="261" t="s">
        <v>241</v>
      </c>
      <c r="N4" s="260" t="s">
        <v>295</v>
      </c>
      <c r="O4" s="262" t="s">
        <v>301</v>
      </c>
      <c r="P4" s="262" t="s">
        <v>303</v>
      </c>
    </row>
    <row r="5" spans="1:22" s="199" customFormat="1" ht="78.75" x14ac:dyDescent="1.45">
      <c r="A5" s="465"/>
      <c r="B5" s="465"/>
      <c r="C5" s="494"/>
      <c r="D5" s="200"/>
      <c r="E5" s="333" t="s">
        <v>8</v>
      </c>
      <c r="F5" s="201" t="s">
        <v>324</v>
      </c>
      <c r="G5" s="209" t="s">
        <v>330</v>
      </c>
      <c r="H5" s="208" t="s">
        <v>285</v>
      </c>
      <c r="I5" s="204" t="s">
        <v>360</v>
      </c>
      <c r="J5" s="204" t="s">
        <v>359</v>
      </c>
      <c r="K5" s="333" t="s">
        <v>323</v>
      </c>
      <c r="L5" s="263" t="s">
        <v>325</v>
      </c>
      <c r="M5" s="264" t="s">
        <v>242</v>
      </c>
      <c r="N5" s="263" t="s">
        <v>243</v>
      </c>
      <c r="O5" s="265" t="s">
        <v>312</v>
      </c>
      <c r="P5" s="265" t="s">
        <v>313</v>
      </c>
    </row>
    <row r="6" spans="1:22" s="188" customFormat="1" ht="98.25" customHeight="1" x14ac:dyDescent="1.85">
      <c r="A6" s="210">
        <v>1</v>
      </c>
      <c r="B6" s="342" t="s">
        <v>361</v>
      </c>
      <c r="C6" s="211" t="s">
        <v>244</v>
      </c>
      <c r="D6" s="212"/>
      <c r="E6" s="277">
        <v>6500</v>
      </c>
      <c r="F6" s="277"/>
      <c r="G6" s="277"/>
      <c r="H6" s="277"/>
      <c r="I6" s="277"/>
      <c r="J6" s="277"/>
      <c r="K6" s="279">
        <f>SUM(E6:J6)</f>
        <v>6500</v>
      </c>
      <c r="L6" s="278"/>
      <c r="M6" s="278">
        <v>6500</v>
      </c>
      <c r="N6" s="278"/>
      <c r="O6" s="278"/>
      <c r="P6" s="278"/>
    </row>
    <row r="7" spans="1:22" s="188" customFormat="1" ht="98.25" customHeight="1" x14ac:dyDescent="1.85">
      <c r="A7" s="213">
        <v>2</v>
      </c>
      <c r="B7" s="214" t="s">
        <v>343</v>
      </c>
      <c r="C7" s="215" t="s">
        <v>245</v>
      </c>
      <c r="D7" s="216"/>
      <c r="E7" s="277">
        <v>46200</v>
      </c>
      <c r="F7" s="277"/>
      <c r="G7" s="277"/>
      <c r="H7" s="277"/>
      <c r="I7" s="277"/>
      <c r="J7" s="277"/>
      <c r="K7" s="279">
        <f>SUM(E7:J7)</f>
        <v>46200</v>
      </c>
      <c r="L7" s="280"/>
      <c r="M7" s="280"/>
      <c r="N7" s="280">
        <v>46200</v>
      </c>
      <c r="O7" s="280"/>
      <c r="P7" s="280"/>
    </row>
    <row r="8" spans="1:22" s="188" customFormat="1" ht="98.25" customHeight="1" x14ac:dyDescent="1.85">
      <c r="A8" s="213">
        <f>+A7+1</f>
        <v>3</v>
      </c>
      <c r="B8" s="217" t="s">
        <v>290</v>
      </c>
      <c r="C8" s="218" t="s">
        <v>4</v>
      </c>
      <c r="D8" s="219"/>
      <c r="E8" s="277">
        <v>10648</v>
      </c>
      <c r="F8" s="277"/>
      <c r="G8" s="277"/>
      <c r="H8" s="277"/>
      <c r="I8" s="277"/>
      <c r="J8" s="277">
        <v>-968</v>
      </c>
      <c r="K8" s="279">
        <f t="shared" ref="K8:K11" si="0">SUM(E8:J8)</f>
        <v>9680</v>
      </c>
      <c r="L8" s="280"/>
      <c r="M8" s="279">
        <v>9680</v>
      </c>
      <c r="N8" s="280"/>
      <c r="O8" s="280"/>
      <c r="P8" s="280"/>
    </row>
    <row r="9" spans="1:22" s="188" customFormat="1" ht="98.25" customHeight="1" x14ac:dyDescent="1.85">
      <c r="A9" s="213">
        <f t="shared" ref="A9:A11" si="1">+A8+1</f>
        <v>4</v>
      </c>
      <c r="B9" s="220" t="s">
        <v>3</v>
      </c>
      <c r="C9" s="218" t="s">
        <v>164</v>
      </c>
      <c r="D9" s="219"/>
      <c r="E9" s="277">
        <v>7986</v>
      </c>
      <c r="F9" s="277"/>
      <c r="G9" s="277"/>
      <c r="H9" s="277"/>
      <c r="I9" s="277"/>
      <c r="J9" s="277"/>
      <c r="K9" s="279">
        <f t="shared" si="0"/>
        <v>7986</v>
      </c>
      <c r="L9" s="280"/>
      <c r="M9" s="279">
        <f>+K9</f>
        <v>7986</v>
      </c>
      <c r="N9" s="280"/>
      <c r="O9" s="280"/>
      <c r="P9" s="280"/>
    </row>
    <row r="10" spans="1:22" s="188" customFormat="1" ht="98.25" customHeight="1" x14ac:dyDescent="1.85">
      <c r="A10" s="213">
        <f t="shared" si="1"/>
        <v>5</v>
      </c>
      <c r="B10" s="220" t="s">
        <v>10</v>
      </c>
      <c r="C10" s="218" t="s">
        <v>246</v>
      </c>
      <c r="D10" s="219"/>
      <c r="E10" s="277">
        <v>7986</v>
      </c>
      <c r="F10" s="277"/>
      <c r="G10" s="277"/>
      <c r="H10" s="277"/>
      <c r="I10" s="277"/>
      <c r="J10" s="277"/>
      <c r="K10" s="279">
        <f t="shared" si="0"/>
        <v>7986</v>
      </c>
      <c r="L10" s="280"/>
      <c r="M10" s="280">
        <f>+K10</f>
        <v>7986</v>
      </c>
      <c r="N10" s="280"/>
      <c r="O10" s="280"/>
      <c r="P10" s="280"/>
    </row>
    <row r="11" spans="1:22" s="188" customFormat="1" ht="98.25" customHeight="1" x14ac:dyDescent="1.85">
      <c r="A11" s="213">
        <f t="shared" si="1"/>
        <v>6</v>
      </c>
      <c r="B11" s="221" t="s">
        <v>247</v>
      </c>
      <c r="C11" s="222" t="s">
        <v>248</v>
      </c>
      <c r="D11" s="223"/>
      <c r="E11" s="281">
        <v>60000</v>
      </c>
      <c r="F11" s="281"/>
      <c r="G11" s="281"/>
      <c r="H11" s="281"/>
      <c r="I11" s="281"/>
      <c r="J11" s="281"/>
      <c r="K11" s="279">
        <f t="shared" si="0"/>
        <v>60000</v>
      </c>
      <c r="L11" s="282"/>
      <c r="M11" s="282">
        <f>+K11</f>
        <v>60000</v>
      </c>
      <c r="N11" s="282"/>
      <c r="O11" s="282"/>
      <c r="P11" s="282"/>
    </row>
    <row r="12" spans="1:22" s="275" customFormat="1" ht="111.75" customHeight="1" thickBot="1" x14ac:dyDescent="1.95">
      <c r="A12" s="473" t="s">
        <v>249</v>
      </c>
      <c r="B12" s="473"/>
      <c r="C12" s="474"/>
      <c r="D12" s="299"/>
      <c r="E12" s="283">
        <f>SUM(E6:E11)</f>
        <v>139320</v>
      </c>
      <c r="F12" s="283">
        <f t="shared" ref="F12:I12" si="2">SUM(F6:F11)</f>
        <v>0</v>
      </c>
      <c r="G12" s="283">
        <f t="shared" si="2"/>
        <v>0</v>
      </c>
      <c r="H12" s="283">
        <f t="shared" si="2"/>
        <v>0</v>
      </c>
      <c r="I12" s="283">
        <f t="shared" si="2"/>
        <v>0</v>
      </c>
      <c r="J12" s="283">
        <f>SUM(J6:J11)</f>
        <v>-968</v>
      </c>
      <c r="K12" s="283">
        <f>SUM(K6:K11)</f>
        <v>138352</v>
      </c>
      <c r="L12" s="283">
        <f t="shared" ref="L12:P12" si="3">SUM(L6:L11)</f>
        <v>0</v>
      </c>
      <c r="M12" s="283">
        <f>SUM(M6:M11)</f>
        <v>92152</v>
      </c>
      <c r="N12" s="283">
        <f t="shared" si="3"/>
        <v>46200</v>
      </c>
      <c r="O12" s="283">
        <f t="shared" si="3"/>
        <v>0</v>
      </c>
      <c r="P12" s="283">
        <f t="shared" si="3"/>
        <v>0</v>
      </c>
      <c r="Q12" s="274"/>
      <c r="R12" s="274"/>
    </row>
    <row r="13" spans="1:22" ht="111.75" customHeight="1" x14ac:dyDescent="2">
      <c r="A13" s="224">
        <f>+A11+1</f>
        <v>7</v>
      </c>
      <c r="B13" s="362" t="s">
        <v>29</v>
      </c>
      <c r="C13" s="346" t="s">
        <v>363</v>
      </c>
      <c r="D13" s="347"/>
      <c r="E13" s="276"/>
      <c r="F13" s="276"/>
      <c r="G13" s="276"/>
      <c r="H13" s="276"/>
      <c r="I13" s="276"/>
      <c r="J13" s="276"/>
      <c r="K13" s="276">
        <f>SUM(E13:J13)</f>
        <v>0</v>
      </c>
      <c r="L13" s="348"/>
      <c r="M13" s="348"/>
      <c r="N13" s="349"/>
      <c r="O13" s="348"/>
      <c r="P13" s="348"/>
      <c r="Q13" s="75"/>
      <c r="R13" s="75"/>
      <c r="S13" s="167"/>
      <c r="V13" s="75"/>
    </row>
    <row r="14" spans="1:22" s="192" customFormat="1" ht="117.75" customHeight="1" thickBot="1" x14ac:dyDescent="1.95">
      <c r="A14" s="475" t="s">
        <v>154</v>
      </c>
      <c r="B14" s="475"/>
      <c r="C14" s="476"/>
      <c r="D14" s="193"/>
      <c r="E14" s="298">
        <f>SUM(E13)</f>
        <v>0</v>
      </c>
      <c r="F14" s="298">
        <f>+F13</f>
        <v>0</v>
      </c>
      <c r="G14" s="298">
        <f t="shared" ref="G14" si="4">SUM(G13)</f>
        <v>0</v>
      </c>
      <c r="H14" s="298">
        <f>+H13</f>
        <v>0</v>
      </c>
      <c r="I14" s="298">
        <f>+I13</f>
        <v>0</v>
      </c>
      <c r="J14" s="298">
        <f t="shared" ref="J14" si="5">SUM(J13)</f>
        <v>0</v>
      </c>
      <c r="K14" s="298">
        <f>SUM(K13)</f>
        <v>0</v>
      </c>
      <c r="L14" s="298">
        <f t="shared" ref="L14:P14" si="6">SUM(L13)</f>
        <v>0</v>
      </c>
      <c r="M14" s="298">
        <f t="shared" si="6"/>
        <v>0</v>
      </c>
      <c r="N14" s="298">
        <f t="shared" si="6"/>
        <v>0</v>
      </c>
      <c r="O14" s="298">
        <f t="shared" si="6"/>
        <v>0</v>
      </c>
      <c r="P14" s="298">
        <f t="shared" si="6"/>
        <v>0</v>
      </c>
      <c r="R14" s="191"/>
      <c r="S14" s="194"/>
    </row>
    <row r="15" spans="1:22" ht="95.25" customHeight="1" x14ac:dyDescent="2">
      <c r="A15" s="227">
        <f>+A13+1</f>
        <v>8</v>
      </c>
      <c r="B15" s="228" t="s">
        <v>266</v>
      </c>
      <c r="C15" s="229" t="s">
        <v>250</v>
      </c>
      <c r="D15" s="230"/>
      <c r="E15" s="277">
        <v>2067</v>
      </c>
      <c r="F15" s="284"/>
      <c r="G15" s="285"/>
      <c r="H15" s="286"/>
      <c r="I15" s="341"/>
      <c r="J15" s="277"/>
      <c r="K15" s="277">
        <f>+E15+J15</f>
        <v>2067</v>
      </c>
      <c r="L15" s="280"/>
      <c r="M15" s="280"/>
      <c r="N15" s="280"/>
      <c r="O15" s="280"/>
      <c r="P15" s="280">
        <f>+K15</f>
        <v>2067</v>
      </c>
      <c r="Q15" s="75"/>
      <c r="R15" s="75"/>
      <c r="S15" s="168"/>
      <c r="V15" s="75"/>
    </row>
    <row r="16" spans="1:22" ht="95.25" customHeight="1" x14ac:dyDescent="2">
      <c r="A16" s="213">
        <f>+A15+1</f>
        <v>9</v>
      </c>
      <c r="B16" s="231" t="s">
        <v>267</v>
      </c>
      <c r="C16" s="232" t="s">
        <v>250</v>
      </c>
      <c r="D16" s="230"/>
      <c r="E16" s="277">
        <v>1587</v>
      </c>
      <c r="F16" s="277"/>
      <c r="G16" s="277"/>
      <c r="H16" s="277"/>
      <c r="I16" s="277"/>
      <c r="J16" s="277"/>
      <c r="K16" s="277">
        <f>SUM(E16:J16)</f>
        <v>1587</v>
      </c>
      <c r="L16" s="280"/>
      <c r="M16" s="280"/>
      <c r="N16" s="280"/>
      <c r="O16" s="280"/>
      <c r="P16" s="280">
        <f>+K16</f>
        <v>1587</v>
      </c>
      <c r="Q16" s="75"/>
      <c r="R16" s="75"/>
      <c r="S16" s="168"/>
      <c r="V16" s="75"/>
    </row>
    <row r="17" spans="1:22" ht="95.25" customHeight="1" x14ac:dyDescent="2">
      <c r="A17" s="213">
        <f t="shared" ref="A17:A30" si="7">+A16+1</f>
        <v>10</v>
      </c>
      <c r="B17" s="231" t="s">
        <v>268</v>
      </c>
      <c r="C17" s="232" t="s">
        <v>250</v>
      </c>
      <c r="D17" s="230"/>
      <c r="E17" s="277">
        <v>1927</v>
      </c>
      <c r="F17" s="277"/>
      <c r="G17" s="277"/>
      <c r="H17" s="277"/>
      <c r="I17" s="277"/>
      <c r="J17" s="277"/>
      <c r="K17" s="277">
        <f>+E17</f>
        <v>1927</v>
      </c>
      <c r="L17" s="280"/>
      <c r="M17" s="280"/>
      <c r="N17" s="280"/>
      <c r="O17" s="280"/>
      <c r="P17" s="280">
        <f>+K17</f>
        <v>1927</v>
      </c>
      <c r="Q17" s="75"/>
      <c r="R17" s="75"/>
      <c r="S17" s="168"/>
      <c r="V17" s="75"/>
    </row>
    <row r="18" spans="1:22" ht="95.25" customHeight="1" x14ac:dyDescent="2">
      <c r="A18" s="213">
        <f t="shared" si="7"/>
        <v>11</v>
      </c>
      <c r="B18" s="231" t="s">
        <v>269</v>
      </c>
      <c r="C18" s="232" t="s">
        <v>250</v>
      </c>
      <c r="D18" s="233"/>
      <c r="E18" s="277">
        <v>2089</v>
      </c>
      <c r="F18" s="277"/>
      <c r="G18" s="277"/>
      <c r="H18" s="277"/>
      <c r="I18" s="277"/>
      <c r="J18" s="277">
        <v>0</v>
      </c>
      <c r="K18" s="277">
        <f>+E18+F18</f>
        <v>2089</v>
      </c>
      <c r="L18" s="280"/>
      <c r="M18" s="280"/>
      <c r="N18" s="280"/>
      <c r="O18" s="280"/>
      <c r="P18" s="280">
        <f>+K18</f>
        <v>2089</v>
      </c>
      <c r="Q18" s="75"/>
      <c r="R18" s="75"/>
      <c r="S18" s="168"/>
      <c r="V18" s="75"/>
    </row>
    <row r="19" spans="1:22" ht="95.25" customHeight="1" x14ac:dyDescent="2">
      <c r="A19" s="213">
        <f t="shared" si="7"/>
        <v>12</v>
      </c>
      <c r="B19" s="231" t="s">
        <v>270</v>
      </c>
      <c r="C19" s="232" t="s">
        <v>250</v>
      </c>
      <c r="D19" s="230"/>
      <c r="E19" s="277">
        <v>1981</v>
      </c>
      <c r="F19" s="277"/>
      <c r="G19" s="277"/>
      <c r="H19" s="277"/>
      <c r="I19" s="277"/>
      <c r="J19" s="277"/>
      <c r="K19" s="277">
        <f>SUM(E19:J19)</f>
        <v>1981</v>
      </c>
      <c r="L19" s="280"/>
      <c r="M19" s="280"/>
      <c r="N19" s="280"/>
      <c r="O19" s="280"/>
      <c r="P19" s="280">
        <f>+K19</f>
        <v>1981</v>
      </c>
      <c r="Q19" s="75"/>
      <c r="R19" s="75"/>
      <c r="S19" s="168"/>
      <c r="V19" s="75"/>
    </row>
    <row r="20" spans="1:22" ht="95.25" customHeight="1" x14ac:dyDescent="2">
      <c r="A20" s="213">
        <f t="shared" si="7"/>
        <v>13</v>
      </c>
      <c r="B20" s="231" t="s">
        <v>271</v>
      </c>
      <c r="C20" s="232" t="s">
        <v>250</v>
      </c>
      <c r="D20" s="233"/>
      <c r="E20" s="477" t="s">
        <v>29</v>
      </c>
      <c r="F20" s="478"/>
      <c r="G20" s="478"/>
      <c r="H20" s="478"/>
      <c r="I20" s="478"/>
      <c r="J20" s="478"/>
      <c r="K20" s="479"/>
      <c r="L20" s="280"/>
      <c r="M20" s="280"/>
      <c r="N20" s="280"/>
      <c r="O20" s="280"/>
      <c r="P20" s="280"/>
      <c r="Q20" s="75"/>
      <c r="R20" s="75"/>
      <c r="S20" s="168"/>
      <c r="V20" s="75"/>
    </row>
    <row r="21" spans="1:22" ht="95.25" customHeight="1" x14ac:dyDescent="2">
      <c r="A21" s="213">
        <f t="shared" si="7"/>
        <v>14</v>
      </c>
      <c r="B21" s="231" t="s">
        <v>272</v>
      </c>
      <c r="C21" s="232" t="s">
        <v>250</v>
      </c>
      <c r="D21" s="230"/>
      <c r="E21" s="277">
        <v>1497</v>
      </c>
      <c r="F21" s="277"/>
      <c r="G21" s="277"/>
      <c r="H21" s="277"/>
      <c r="I21" s="277"/>
      <c r="J21" s="277"/>
      <c r="K21" s="277">
        <f>+E21</f>
        <v>1497</v>
      </c>
      <c r="L21" s="280"/>
      <c r="M21" s="280"/>
      <c r="N21" s="280"/>
      <c r="O21" s="280"/>
      <c r="P21" s="280">
        <f t="shared" ref="P21:P30" si="8">+K21</f>
        <v>1497</v>
      </c>
      <c r="Q21" s="75"/>
      <c r="R21" s="75"/>
      <c r="S21" s="168"/>
      <c r="V21" s="75"/>
    </row>
    <row r="22" spans="1:22" ht="95.25" customHeight="1" x14ac:dyDescent="2">
      <c r="A22" s="213">
        <f t="shared" si="7"/>
        <v>15</v>
      </c>
      <c r="B22" s="231" t="s">
        <v>273</v>
      </c>
      <c r="C22" s="232" t="s">
        <v>250</v>
      </c>
      <c r="D22" s="230"/>
      <c r="E22" s="277">
        <v>1775</v>
      </c>
      <c r="F22" s="277"/>
      <c r="G22" s="277"/>
      <c r="H22" s="277"/>
      <c r="I22" s="277"/>
      <c r="J22" s="277"/>
      <c r="K22" s="277">
        <f>+E22</f>
        <v>1775</v>
      </c>
      <c r="L22" s="280"/>
      <c r="M22" s="280"/>
      <c r="N22" s="280"/>
      <c r="O22" s="280"/>
      <c r="P22" s="280">
        <f t="shared" si="8"/>
        <v>1775</v>
      </c>
      <c r="Q22" s="75"/>
      <c r="R22" s="75"/>
      <c r="S22" s="168"/>
      <c r="V22" s="75"/>
    </row>
    <row r="23" spans="1:22" ht="95.25" customHeight="1" x14ac:dyDescent="2">
      <c r="A23" s="213">
        <f t="shared" si="7"/>
        <v>16</v>
      </c>
      <c r="B23" s="231" t="s">
        <v>274</v>
      </c>
      <c r="C23" s="232" t="s">
        <v>250</v>
      </c>
      <c r="D23" s="230"/>
      <c r="E23" s="477" t="s">
        <v>29</v>
      </c>
      <c r="F23" s="478"/>
      <c r="G23" s="478"/>
      <c r="H23" s="478"/>
      <c r="I23" s="478"/>
      <c r="J23" s="478"/>
      <c r="K23" s="479"/>
      <c r="L23" s="280"/>
      <c r="M23" s="280"/>
      <c r="N23" s="280"/>
      <c r="O23" s="280"/>
      <c r="P23" s="280"/>
      <c r="Q23" s="75"/>
      <c r="R23" s="75"/>
      <c r="S23" s="168"/>
      <c r="V23" s="75"/>
    </row>
    <row r="24" spans="1:22" ht="95.25" customHeight="1" x14ac:dyDescent="2">
      <c r="A24" s="213">
        <f t="shared" si="7"/>
        <v>17</v>
      </c>
      <c r="B24" s="231" t="s">
        <v>284</v>
      </c>
      <c r="C24" s="232" t="s">
        <v>250</v>
      </c>
      <c r="D24" s="233"/>
      <c r="E24" s="477" t="s">
        <v>29</v>
      </c>
      <c r="F24" s="478"/>
      <c r="G24" s="478"/>
      <c r="H24" s="478"/>
      <c r="I24" s="478"/>
      <c r="J24" s="478"/>
      <c r="K24" s="479"/>
      <c r="L24" s="280"/>
      <c r="M24" s="280"/>
      <c r="N24" s="280"/>
      <c r="O24" s="280"/>
      <c r="P24" s="280"/>
      <c r="Q24" s="75"/>
      <c r="R24" s="75"/>
      <c r="S24" s="168"/>
      <c r="V24" s="75"/>
    </row>
    <row r="25" spans="1:22" ht="95.25" customHeight="1" x14ac:dyDescent="2">
      <c r="A25" s="213">
        <f t="shared" si="7"/>
        <v>18</v>
      </c>
      <c r="B25" s="231" t="s">
        <v>282</v>
      </c>
      <c r="C25" s="232" t="s">
        <v>250</v>
      </c>
      <c r="D25" s="233"/>
      <c r="E25" s="277">
        <v>1613</v>
      </c>
      <c r="F25" s="277"/>
      <c r="G25" s="277"/>
      <c r="H25" s="277"/>
      <c r="I25" s="277"/>
      <c r="J25" s="277"/>
      <c r="K25" s="277">
        <f t="shared" ref="K25:K30" si="9">+E25</f>
        <v>1613</v>
      </c>
      <c r="L25" s="280"/>
      <c r="M25" s="280"/>
      <c r="N25" s="280"/>
      <c r="O25" s="280"/>
      <c r="P25" s="280">
        <f t="shared" si="8"/>
        <v>1613</v>
      </c>
      <c r="Q25" s="75"/>
      <c r="R25" s="75"/>
      <c r="S25" s="168"/>
      <c r="V25" s="75"/>
    </row>
    <row r="26" spans="1:22" ht="95.25" customHeight="1" x14ac:dyDescent="2">
      <c r="A26" s="213">
        <f t="shared" si="7"/>
        <v>19</v>
      </c>
      <c r="B26" s="231" t="s">
        <v>275</v>
      </c>
      <c r="C26" s="232" t="s">
        <v>250</v>
      </c>
      <c r="D26" s="230"/>
      <c r="E26" s="277">
        <v>1747</v>
      </c>
      <c r="F26" s="277"/>
      <c r="G26" s="277"/>
      <c r="H26" s="277"/>
      <c r="I26" s="277"/>
      <c r="J26" s="277"/>
      <c r="K26" s="277">
        <f t="shared" si="9"/>
        <v>1747</v>
      </c>
      <c r="L26" s="280"/>
      <c r="M26" s="280"/>
      <c r="N26" s="280"/>
      <c r="O26" s="280"/>
      <c r="P26" s="280">
        <f t="shared" si="8"/>
        <v>1747</v>
      </c>
      <c r="Q26" s="75"/>
      <c r="R26" s="75"/>
      <c r="S26" s="168"/>
      <c r="V26" s="75"/>
    </row>
    <row r="27" spans="1:22" ht="95.25" customHeight="1" x14ac:dyDescent="2">
      <c r="A27" s="213">
        <f t="shared" si="7"/>
        <v>20</v>
      </c>
      <c r="B27" s="231" t="s">
        <v>265</v>
      </c>
      <c r="C27" s="232" t="s">
        <v>250</v>
      </c>
      <c r="D27" s="230"/>
      <c r="E27" s="277">
        <v>2021</v>
      </c>
      <c r="F27" s="277"/>
      <c r="G27" s="277"/>
      <c r="H27" s="277"/>
      <c r="I27" s="277"/>
      <c r="J27" s="277"/>
      <c r="K27" s="277">
        <f t="shared" si="9"/>
        <v>2021</v>
      </c>
      <c r="L27" s="280"/>
      <c r="M27" s="280"/>
      <c r="N27" s="280"/>
      <c r="O27" s="280"/>
      <c r="P27" s="280">
        <f t="shared" si="8"/>
        <v>2021</v>
      </c>
      <c r="Q27" s="75"/>
      <c r="R27" s="75"/>
      <c r="S27" s="168"/>
      <c r="V27" s="75"/>
    </row>
    <row r="28" spans="1:22" ht="95.25" customHeight="1" x14ac:dyDescent="2">
      <c r="A28" s="213">
        <f t="shared" si="7"/>
        <v>21</v>
      </c>
      <c r="B28" s="231" t="s">
        <v>262</v>
      </c>
      <c r="C28" s="232" t="s">
        <v>250</v>
      </c>
      <c r="D28" s="233"/>
      <c r="E28" s="287">
        <v>1631</v>
      </c>
      <c r="F28" s="277"/>
      <c r="G28" s="277"/>
      <c r="H28" s="277"/>
      <c r="I28" s="277"/>
      <c r="J28" s="277"/>
      <c r="K28" s="277">
        <f t="shared" si="9"/>
        <v>1631</v>
      </c>
      <c r="L28" s="280"/>
      <c r="M28" s="280"/>
      <c r="N28" s="280"/>
      <c r="O28" s="280"/>
      <c r="P28" s="280">
        <f t="shared" si="8"/>
        <v>1631</v>
      </c>
      <c r="Q28" s="75"/>
      <c r="R28" s="75"/>
      <c r="S28" s="168"/>
      <c r="V28" s="75"/>
    </row>
    <row r="29" spans="1:22" ht="95.25" customHeight="1" x14ac:dyDescent="2">
      <c r="A29" s="213">
        <f t="shared" si="7"/>
        <v>22</v>
      </c>
      <c r="B29" s="231" t="s">
        <v>261</v>
      </c>
      <c r="C29" s="232" t="s">
        <v>250</v>
      </c>
      <c r="D29" s="230"/>
      <c r="E29" s="277">
        <v>2043</v>
      </c>
      <c r="F29" s="277"/>
      <c r="G29" s="277"/>
      <c r="H29" s="277"/>
      <c r="I29" s="277"/>
      <c r="J29" s="277"/>
      <c r="K29" s="277">
        <f>+J29+E29</f>
        <v>2043</v>
      </c>
      <c r="L29" s="280"/>
      <c r="M29" s="280"/>
      <c r="N29" s="280"/>
      <c r="O29" s="280"/>
      <c r="P29" s="280">
        <f t="shared" si="8"/>
        <v>2043</v>
      </c>
      <c r="Q29" s="75"/>
      <c r="R29" s="75"/>
      <c r="S29" s="168"/>
      <c r="V29" s="75"/>
    </row>
    <row r="30" spans="1:22" ht="95.25" customHeight="1" x14ac:dyDescent="2">
      <c r="A30" s="352">
        <f t="shared" si="7"/>
        <v>23</v>
      </c>
      <c r="B30" s="353" t="s">
        <v>260</v>
      </c>
      <c r="C30" s="354" t="s">
        <v>250</v>
      </c>
      <c r="D30" s="355"/>
      <c r="E30" s="356">
        <v>1739</v>
      </c>
      <c r="F30" s="356"/>
      <c r="G30" s="356"/>
      <c r="H30" s="356"/>
      <c r="I30" s="356"/>
      <c r="J30" s="356"/>
      <c r="K30" s="356">
        <f t="shared" si="9"/>
        <v>1739</v>
      </c>
      <c r="L30" s="357"/>
      <c r="M30" s="357"/>
      <c r="N30" s="357"/>
      <c r="O30" s="357"/>
      <c r="P30" s="357">
        <f t="shared" si="8"/>
        <v>1739</v>
      </c>
      <c r="Q30" s="75"/>
      <c r="R30" s="75"/>
      <c r="S30" s="167"/>
      <c r="V30" s="75"/>
    </row>
    <row r="31" spans="1:22" s="275" customFormat="1" ht="112.5" customHeight="1" thickBot="1" x14ac:dyDescent="1.95">
      <c r="A31" s="480" t="s">
        <v>259</v>
      </c>
      <c r="B31" s="480"/>
      <c r="C31" s="481"/>
      <c r="D31" s="300"/>
      <c r="E31" s="288">
        <f>SUM(E15:E30)</f>
        <v>23717</v>
      </c>
      <c r="F31" s="288">
        <f>SUM(F15:F30)</f>
        <v>0</v>
      </c>
      <c r="G31" s="288">
        <f t="shared" ref="G31" si="10">SUM(G15:G30)</f>
        <v>0</v>
      </c>
      <c r="H31" s="288">
        <f>SUM(H15:H30)</f>
        <v>0</v>
      </c>
      <c r="I31" s="288"/>
      <c r="J31" s="288">
        <f>SUM(J15:J30)</f>
        <v>0</v>
      </c>
      <c r="K31" s="288">
        <f>SUM(K15:K19)+K21+K22+K24+K25+K26+K27+K28+K29+K30+K23</f>
        <v>23717</v>
      </c>
      <c r="L31" s="288">
        <f t="shared" ref="L31:M31" si="11">SUM(L15:L30)</f>
        <v>0</v>
      </c>
      <c r="M31" s="288">
        <f t="shared" si="11"/>
        <v>0</v>
      </c>
      <c r="N31" s="288">
        <f>SUM(N15:N30)</f>
        <v>0</v>
      </c>
      <c r="O31" s="288">
        <f t="shared" ref="O31:P31" si="12">SUM(O15:O30)</f>
        <v>0</v>
      </c>
      <c r="P31" s="288">
        <f t="shared" si="12"/>
        <v>23717</v>
      </c>
      <c r="Q31" s="274"/>
      <c r="R31" s="274"/>
    </row>
    <row r="32" spans="1:22" ht="110.25" customHeight="1" x14ac:dyDescent="2">
      <c r="A32" s="234">
        <f>+A30+1</f>
        <v>24</v>
      </c>
      <c r="B32" s="235" t="s">
        <v>251</v>
      </c>
      <c r="C32" s="236" t="s">
        <v>252</v>
      </c>
      <c r="D32" s="226"/>
      <c r="E32" s="276">
        <v>27000</v>
      </c>
      <c r="F32" s="276"/>
      <c r="G32" s="276"/>
      <c r="H32" s="276"/>
      <c r="I32" s="276"/>
      <c r="J32" s="276"/>
      <c r="K32" s="276">
        <f>SUM(E32:J32)</f>
        <v>27000</v>
      </c>
      <c r="L32" s="289">
        <v>27000</v>
      </c>
      <c r="M32" s="290"/>
      <c r="N32" s="290"/>
      <c r="O32" s="290"/>
      <c r="P32" s="290"/>
      <c r="Q32" s="75"/>
      <c r="R32" s="75"/>
      <c r="S32" s="167"/>
      <c r="V32" s="75"/>
    </row>
    <row r="33" spans="1:22" ht="110.25" customHeight="1" x14ac:dyDescent="2">
      <c r="A33" s="237">
        <f>+A32+1</f>
        <v>25</v>
      </c>
      <c r="B33" s="334" t="s">
        <v>353</v>
      </c>
      <c r="C33" s="225" t="s">
        <v>279</v>
      </c>
      <c r="D33" s="226"/>
      <c r="E33" s="289">
        <v>40000</v>
      </c>
      <c r="F33" s="276"/>
      <c r="G33" s="291"/>
      <c r="H33" s="276">
        <v>-40000</v>
      </c>
      <c r="I33" s="276"/>
      <c r="J33" s="276"/>
      <c r="K33" s="276">
        <f t="shared" ref="K33:K46" si="13">SUM(E33:J33)</f>
        <v>0</v>
      </c>
      <c r="L33" s="290"/>
      <c r="M33" s="292" t="s">
        <v>285</v>
      </c>
      <c r="N33" s="290"/>
      <c r="O33" s="280"/>
      <c r="P33" s="280"/>
      <c r="Q33" s="75"/>
      <c r="R33" s="81"/>
      <c r="S33" s="167"/>
      <c r="V33" s="75"/>
    </row>
    <row r="34" spans="1:22" ht="110.25" customHeight="1" x14ac:dyDescent="2">
      <c r="A34" s="237">
        <f t="shared" ref="A34:A46" si="14">+A33+1</f>
        <v>26</v>
      </c>
      <c r="B34" s="238" t="s">
        <v>293</v>
      </c>
      <c r="C34" s="218" t="s">
        <v>294</v>
      </c>
      <c r="D34" s="219"/>
      <c r="E34" s="279"/>
      <c r="F34" s="277"/>
      <c r="G34" s="277"/>
      <c r="H34" s="276"/>
      <c r="I34" s="276"/>
      <c r="J34" s="277"/>
      <c r="K34" s="276">
        <f t="shared" si="13"/>
        <v>0</v>
      </c>
      <c r="L34" s="280"/>
      <c r="M34" s="280"/>
      <c r="N34" s="280"/>
      <c r="O34" s="293"/>
      <c r="P34" s="293"/>
      <c r="Q34" s="75"/>
      <c r="R34" s="75"/>
      <c r="S34" s="167"/>
      <c r="V34" s="75"/>
    </row>
    <row r="35" spans="1:22" ht="110.25" customHeight="1" x14ac:dyDescent="2">
      <c r="A35" s="237">
        <f t="shared" si="14"/>
        <v>27</v>
      </c>
      <c r="B35" s="220" t="s">
        <v>332</v>
      </c>
      <c r="C35" s="218" t="s">
        <v>253</v>
      </c>
      <c r="D35" s="219"/>
      <c r="E35" s="279">
        <v>18150</v>
      </c>
      <c r="F35" s="277"/>
      <c r="G35" s="277"/>
      <c r="H35" s="276"/>
      <c r="I35" s="276"/>
      <c r="J35" s="277"/>
      <c r="K35" s="276">
        <f t="shared" si="13"/>
        <v>18150</v>
      </c>
      <c r="L35" s="280"/>
      <c r="M35" s="280"/>
      <c r="N35" s="280"/>
      <c r="O35" s="293">
        <f>+K35</f>
        <v>18150</v>
      </c>
      <c r="P35" s="293"/>
      <c r="Q35" s="75"/>
      <c r="R35" s="75"/>
      <c r="S35" s="167"/>
      <c r="V35" s="75"/>
    </row>
    <row r="36" spans="1:22" ht="110.25" customHeight="1" x14ac:dyDescent="2">
      <c r="A36" s="237">
        <f t="shared" si="14"/>
        <v>28</v>
      </c>
      <c r="B36" s="220" t="s">
        <v>254</v>
      </c>
      <c r="C36" s="218" t="s">
        <v>263</v>
      </c>
      <c r="D36" s="219"/>
      <c r="E36" s="293">
        <v>5324</v>
      </c>
      <c r="F36" s="280"/>
      <c r="G36" s="280"/>
      <c r="H36" s="290"/>
      <c r="I36" s="290"/>
      <c r="J36" s="280"/>
      <c r="K36" s="276">
        <f t="shared" si="13"/>
        <v>5324</v>
      </c>
      <c r="L36" s="280"/>
      <c r="M36" s="280"/>
      <c r="N36" s="280"/>
      <c r="O36" s="293">
        <f>+K36</f>
        <v>5324</v>
      </c>
      <c r="P36" s="293"/>
      <c r="Q36" s="75"/>
      <c r="R36" s="75"/>
      <c r="S36" s="167"/>
      <c r="V36" s="75"/>
    </row>
    <row r="37" spans="1:22" ht="110.25" customHeight="1" x14ac:dyDescent="2">
      <c r="A37" s="237">
        <f t="shared" si="14"/>
        <v>29</v>
      </c>
      <c r="B37" s="220" t="s">
        <v>6</v>
      </c>
      <c r="C37" s="218" t="s">
        <v>264</v>
      </c>
      <c r="D37" s="219"/>
      <c r="E37" s="293">
        <v>5324</v>
      </c>
      <c r="F37" s="280"/>
      <c r="G37" s="280"/>
      <c r="H37" s="290"/>
      <c r="I37" s="290"/>
      <c r="J37" s="280"/>
      <c r="K37" s="276">
        <f t="shared" si="13"/>
        <v>5324</v>
      </c>
      <c r="L37" s="280"/>
      <c r="M37" s="280"/>
      <c r="N37" s="280"/>
      <c r="O37" s="293">
        <f>+K37</f>
        <v>5324</v>
      </c>
      <c r="P37" s="293"/>
      <c r="Q37" s="75"/>
      <c r="R37" s="75"/>
      <c r="S37" s="167"/>
      <c r="V37" s="75"/>
    </row>
    <row r="38" spans="1:22" ht="110.25" customHeight="1" x14ac:dyDescent="2">
      <c r="A38" s="237">
        <f t="shared" si="14"/>
        <v>30</v>
      </c>
      <c r="B38" s="220" t="s">
        <v>333</v>
      </c>
      <c r="C38" s="218" t="s">
        <v>132</v>
      </c>
      <c r="D38" s="239"/>
      <c r="E38" s="294">
        <v>3800</v>
      </c>
      <c r="F38" s="294"/>
      <c r="G38" s="294"/>
      <c r="H38" s="295"/>
      <c r="I38" s="295"/>
      <c r="J38" s="294"/>
      <c r="K38" s="276">
        <f t="shared" si="13"/>
        <v>3800</v>
      </c>
      <c r="L38" s="294"/>
      <c r="M38" s="294"/>
      <c r="N38" s="294"/>
      <c r="O38" s="293">
        <v>3800</v>
      </c>
      <c r="P38" s="293"/>
      <c r="Q38" s="75"/>
      <c r="R38" s="75"/>
      <c r="S38" s="167"/>
      <c r="V38" s="75"/>
    </row>
    <row r="39" spans="1:22" ht="110.25" customHeight="1" x14ac:dyDescent="2">
      <c r="A39" s="237">
        <f t="shared" si="14"/>
        <v>31</v>
      </c>
      <c r="B39" s="220" t="s">
        <v>334</v>
      </c>
      <c r="C39" s="218" t="s">
        <v>132</v>
      </c>
      <c r="D39" s="239"/>
      <c r="E39" s="294">
        <v>7348</v>
      </c>
      <c r="F39" s="294"/>
      <c r="G39" s="294"/>
      <c r="H39" s="295"/>
      <c r="I39" s="295"/>
      <c r="J39" s="294"/>
      <c r="K39" s="276">
        <f t="shared" si="13"/>
        <v>7348</v>
      </c>
      <c r="L39" s="294"/>
      <c r="M39" s="294"/>
      <c r="N39" s="294"/>
      <c r="O39" s="279">
        <f>+K39</f>
        <v>7348</v>
      </c>
      <c r="P39" s="293"/>
      <c r="Q39" s="75"/>
      <c r="R39" s="75"/>
      <c r="S39" s="167"/>
      <c r="V39" s="75"/>
    </row>
    <row r="40" spans="1:22" ht="110.25" customHeight="1" x14ac:dyDescent="2">
      <c r="A40" s="237">
        <f t="shared" si="14"/>
        <v>32</v>
      </c>
      <c r="B40" s="220" t="s">
        <v>335</v>
      </c>
      <c r="C40" s="218" t="s">
        <v>132</v>
      </c>
      <c r="D40" s="239"/>
      <c r="E40" s="294">
        <v>4608</v>
      </c>
      <c r="F40" s="294"/>
      <c r="G40" s="294">
        <v>5072</v>
      </c>
      <c r="H40" s="295"/>
      <c r="I40" s="295"/>
      <c r="J40" s="294"/>
      <c r="K40" s="276">
        <f t="shared" si="13"/>
        <v>9680</v>
      </c>
      <c r="L40" s="294"/>
      <c r="M40" s="294"/>
      <c r="N40" s="294"/>
      <c r="O40" s="279">
        <f t="shared" ref="O40:O45" si="15">+K40</f>
        <v>9680</v>
      </c>
      <c r="P40" s="293"/>
      <c r="Q40" s="75"/>
      <c r="R40" s="75"/>
      <c r="S40" s="167"/>
      <c r="V40" s="75"/>
    </row>
    <row r="41" spans="1:22" ht="110.25" customHeight="1" x14ac:dyDescent="2">
      <c r="A41" s="237">
        <f t="shared" si="14"/>
        <v>33</v>
      </c>
      <c r="B41" s="220" t="s">
        <v>336</v>
      </c>
      <c r="C41" s="218" t="s">
        <v>132</v>
      </c>
      <c r="D41" s="239"/>
      <c r="E41" s="294">
        <v>7648</v>
      </c>
      <c r="F41" s="294"/>
      <c r="G41" s="294"/>
      <c r="H41" s="295"/>
      <c r="I41" s="295"/>
      <c r="J41" s="294"/>
      <c r="K41" s="276">
        <f t="shared" si="13"/>
        <v>7648</v>
      </c>
      <c r="L41" s="294"/>
      <c r="M41" s="294"/>
      <c r="N41" s="294"/>
      <c r="O41" s="279">
        <f t="shared" si="15"/>
        <v>7648</v>
      </c>
      <c r="P41" s="293"/>
      <c r="Q41" s="75"/>
      <c r="R41" s="75"/>
      <c r="S41" s="167"/>
      <c r="V41" s="75"/>
    </row>
    <row r="42" spans="1:22" ht="110.25" customHeight="1" x14ac:dyDescent="2">
      <c r="A42" s="237">
        <f t="shared" si="14"/>
        <v>34</v>
      </c>
      <c r="B42" s="220" t="s">
        <v>150</v>
      </c>
      <c r="C42" s="218" t="s">
        <v>89</v>
      </c>
      <c r="D42" s="239"/>
      <c r="E42" s="294">
        <v>6000</v>
      </c>
      <c r="F42" s="294"/>
      <c r="G42" s="294"/>
      <c r="H42" s="295">
        <v>12000</v>
      </c>
      <c r="I42" s="295"/>
      <c r="J42" s="294"/>
      <c r="K42" s="276">
        <f t="shared" si="13"/>
        <v>18000</v>
      </c>
      <c r="L42" s="294"/>
      <c r="M42" s="294"/>
      <c r="N42" s="294"/>
      <c r="O42" s="279">
        <f t="shared" si="15"/>
        <v>18000</v>
      </c>
      <c r="P42" s="293"/>
      <c r="Q42" s="75"/>
      <c r="R42" s="75"/>
      <c r="S42" s="167"/>
      <c r="V42" s="75"/>
    </row>
    <row r="43" spans="1:22" ht="110.25" customHeight="1" x14ac:dyDescent="2">
      <c r="A43" s="237">
        <f t="shared" si="14"/>
        <v>35</v>
      </c>
      <c r="B43" s="220" t="s">
        <v>189</v>
      </c>
      <c r="C43" s="218" t="s">
        <v>187</v>
      </c>
      <c r="D43" s="239"/>
      <c r="E43" s="294">
        <v>400</v>
      </c>
      <c r="F43" s="294"/>
      <c r="G43" s="294"/>
      <c r="H43" s="294">
        <f>400*11</f>
        <v>4400</v>
      </c>
      <c r="I43" s="294"/>
      <c r="J43" s="294"/>
      <c r="K43" s="276">
        <f t="shared" si="13"/>
        <v>4800</v>
      </c>
      <c r="L43" s="294"/>
      <c r="M43" s="294"/>
      <c r="N43" s="294"/>
      <c r="O43" s="279">
        <f t="shared" si="15"/>
        <v>4800</v>
      </c>
      <c r="P43" s="293"/>
      <c r="Q43" s="75"/>
      <c r="R43" s="75"/>
      <c r="S43" s="167"/>
      <c r="V43" s="75"/>
    </row>
    <row r="44" spans="1:22" ht="110.25" customHeight="1" x14ac:dyDescent="2">
      <c r="A44" s="237">
        <f t="shared" si="14"/>
        <v>36</v>
      </c>
      <c r="B44" s="220" t="s">
        <v>192</v>
      </c>
      <c r="C44" s="218" t="s">
        <v>190</v>
      </c>
      <c r="D44" s="239"/>
      <c r="E44" s="294">
        <v>1500</v>
      </c>
      <c r="F44" s="294"/>
      <c r="G44" s="294"/>
      <c r="H44" s="294">
        <v>3000</v>
      </c>
      <c r="I44" s="294"/>
      <c r="J44" s="294"/>
      <c r="K44" s="276">
        <f t="shared" si="13"/>
        <v>4500</v>
      </c>
      <c r="L44" s="294"/>
      <c r="M44" s="294"/>
      <c r="N44" s="294"/>
      <c r="O44" s="279">
        <f t="shared" si="15"/>
        <v>4500</v>
      </c>
      <c r="P44" s="293"/>
      <c r="Q44" s="75"/>
      <c r="R44" s="75"/>
      <c r="S44" s="167"/>
      <c r="V44" s="75"/>
    </row>
    <row r="45" spans="1:22" ht="110.25" customHeight="1" x14ac:dyDescent="2">
      <c r="A45" s="237">
        <f>+A44+1</f>
        <v>37</v>
      </c>
      <c r="B45" s="220" t="s">
        <v>152</v>
      </c>
      <c r="C45" s="218" t="s">
        <v>168</v>
      </c>
      <c r="D45" s="239"/>
      <c r="E45" s="294">
        <v>600</v>
      </c>
      <c r="F45" s="294"/>
      <c r="G45" s="294"/>
      <c r="H45" s="294">
        <v>1200</v>
      </c>
      <c r="I45" s="294"/>
      <c r="J45" s="294"/>
      <c r="K45" s="276">
        <f t="shared" si="13"/>
        <v>1800</v>
      </c>
      <c r="L45" s="294"/>
      <c r="M45" s="294"/>
      <c r="N45" s="294"/>
      <c r="O45" s="279">
        <f t="shared" si="15"/>
        <v>1800</v>
      </c>
      <c r="P45" s="293"/>
      <c r="Q45" s="75"/>
      <c r="R45" s="75"/>
      <c r="S45" s="167"/>
      <c r="V45" s="75"/>
    </row>
    <row r="46" spans="1:22" ht="110.25" customHeight="1" x14ac:dyDescent="2">
      <c r="A46" s="237">
        <f t="shared" si="14"/>
        <v>38</v>
      </c>
      <c r="B46" s="220" t="s">
        <v>381</v>
      </c>
      <c r="C46" s="218" t="s">
        <v>394</v>
      </c>
      <c r="D46" s="239"/>
      <c r="E46" s="294">
        <v>1000</v>
      </c>
      <c r="F46" s="294"/>
      <c r="G46" s="294"/>
      <c r="H46" s="295"/>
      <c r="I46" s="295"/>
      <c r="J46" s="294"/>
      <c r="K46" s="276">
        <f t="shared" si="13"/>
        <v>1000</v>
      </c>
      <c r="L46" s="294"/>
      <c r="M46" s="294"/>
      <c r="N46" s="294"/>
      <c r="O46" s="293">
        <f>+K46</f>
        <v>1000</v>
      </c>
      <c r="P46" s="293"/>
      <c r="Q46" s="75"/>
      <c r="R46" s="75"/>
      <c r="S46" s="167"/>
      <c r="V46" s="75"/>
    </row>
    <row r="47" spans="1:22" s="259" customFormat="1" ht="110.25" customHeight="1" thickBot="1" x14ac:dyDescent="1.95">
      <c r="A47" s="482" t="s">
        <v>255</v>
      </c>
      <c r="B47" s="483"/>
      <c r="C47" s="483"/>
      <c r="D47" s="257"/>
      <c r="E47" s="296">
        <f>SUM(E32:E46)</f>
        <v>128702</v>
      </c>
      <c r="F47" s="296">
        <f>SUM(F32:F46)</f>
        <v>0</v>
      </c>
      <c r="G47" s="296">
        <f>SUM(G32:G46)</f>
        <v>5072</v>
      </c>
      <c r="H47" s="296">
        <f>SUM(H32:H46)</f>
        <v>-19400</v>
      </c>
      <c r="I47" s="296"/>
      <c r="J47" s="296">
        <f>SUM(J32:J46)</f>
        <v>0</v>
      </c>
      <c r="K47" s="296">
        <f>SUM(K32:K46)</f>
        <v>114374</v>
      </c>
      <c r="L47" s="296">
        <f>SUM(L32:L45)</f>
        <v>27000</v>
      </c>
      <c r="M47" s="297">
        <f>SUM(M32:M46)</f>
        <v>0</v>
      </c>
      <c r="N47" s="297">
        <f>SUM(N32:N46)</f>
        <v>0</v>
      </c>
      <c r="O47" s="297">
        <f>SUM(O32:O46)</f>
        <v>87374</v>
      </c>
      <c r="P47" s="297">
        <f>SUM(P32:P45)</f>
        <v>0</v>
      </c>
      <c r="Q47" s="258"/>
    </row>
    <row r="48" spans="1:22" s="275" customFormat="1" ht="110.25" customHeight="1" thickBot="1" x14ac:dyDescent="1.95">
      <c r="A48" s="485" t="s">
        <v>22</v>
      </c>
      <c r="B48" s="486"/>
      <c r="C48" s="486"/>
      <c r="D48" s="271"/>
      <c r="E48" s="335">
        <f t="shared" ref="E48:P48" si="16">+E47+E31+E14+E12</f>
        <v>291739</v>
      </c>
      <c r="F48" s="272">
        <f t="shared" si="16"/>
        <v>0</v>
      </c>
      <c r="G48" s="272">
        <f t="shared" si="16"/>
        <v>5072</v>
      </c>
      <c r="H48" s="272">
        <f t="shared" si="16"/>
        <v>-19400</v>
      </c>
      <c r="I48" s="272">
        <f t="shared" si="16"/>
        <v>0</v>
      </c>
      <c r="J48" s="272">
        <f t="shared" si="16"/>
        <v>-968</v>
      </c>
      <c r="K48" s="338">
        <f t="shared" si="16"/>
        <v>276443</v>
      </c>
      <c r="L48" s="272">
        <f t="shared" si="16"/>
        <v>27000</v>
      </c>
      <c r="M48" s="272">
        <f t="shared" si="16"/>
        <v>92152</v>
      </c>
      <c r="N48" s="272">
        <f t="shared" si="16"/>
        <v>46200</v>
      </c>
      <c r="O48" s="273">
        <f t="shared" si="16"/>
        <v>87374</v>
      </c>
      <c r="P48" s="273">
        <f t="shared" si="16"/>
        <v>23717</v>
      </c>
      <c r="Q48" s="274"/>
      <c r="R48" s="274"/>
    </row>
    <row r="49" spans="1:26" s="82" customFormat="1" ht="26.25" customHeight="1" thickTop="1" x14ac:dyDescent="2">
      <c r="C49" s="83"/>
      <c r="D49" s="83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V49" s="167"/>
    </row>
    <row r="50" spans="1:26" s="82" customFormat="1" ht="89.25" hidden="1" customHeight="1" x14ac:dyDescent="1.75">
      <c r="B50" s="487"/>
      <c r="C50" s="487"/>
      <c r="D50" s="487"/>
      <c r="E50" s="487"/>
      <c r="F50" s="487"/>
      <c r="G50" s="86"/>
      <c r="H50" s="84"/>
      <c r="I50" s="84"/>
      <c r="J50" s="84"/>
      <c r="K50" s="488" t="s">
        <v>322</v>
      </c>
      <c r="L50" s="488"/>
      <c r="M50" s="488"/>
      <c r="N50" s="488"/>
      <c r="O50" s="488"/>
      <c r="P50" s="488"/>
      <c r="Q50" s="189"/>
      <c r="R50" s="189"/>
      <c r="S50" s="189"/>
      <c r="T50" s="189"/>
    </row>
    <row r="51" spans="1:26" s="82" customFormat="1" ht="119.25" hidden="1" customHeight="1" x14ac:dyDescent="1.85">
      <c r="B51" s="196"/>
      <c r="C51" s="183"/>
      <c r="E51" s="489"/>
      <c r="F51" s="489"/>
      <c r="H51" s="86"/>
      <c r="I51" s="86"/>
      <c r="L51" s="179" t="s">
        <v>325</v>
      </c>
      <c r="M51" s="195" t="str">
        <f>+M5</f>
        <v xml:space="preserve">กสิกร 119-3-21759-8 </v>
      </c>
      <c r="N51" s="180" t="str">
        <f>+N5</f>
        <v xml:space="preserve">กสิกร 119-3-21471-8  </v>
      </c>
      <c r="O51" s="180" t="str">
        <f>+O5</f>
        <v>SCB 611-281075-3</v>
      </c>
      <c r="P51" s="180" t="str">
        <f>+P5</f>
        <v>SCB 611-261071-1</v>
      </c>
      <c r="Q51" s="187" t="s">
        <v>28</v>
      </c>
      <c r="S51" s="85"/>
    </row>
    <row r="52" spans="1:26" s="82" customFormat="1" ht="119.25" hidden="1" customHeight="1" x14ac:dyDescent="1.85">
      <c r="B52" s="196"/>
      <c r="C52" s="183"/>
      <c r="E52" s="489"/>
      <c r="F52" s="489"/>
      <c r="G52" s="240"/>
      <c r="H52" s="90" t="s">
        <v>256</v>
      </c>
      <c r="I52" s="90"/>
      <c r="L52" s="170">
        <v>311114.19</v>
      </c>
      <c r="M52" s="170">
        <v>891.10000000000582</v>
      </c>
      <c r="N52" s="170">
        <v>488.62000000000262</v>
      </c>
      <c r="O52" s="170">
        <v>536.72000000000116</v>
      </c>
      <c r="P52" s="170">
        <v>500</v>
      </c>
      <c r="Q52" s="172">
        <f>SUM(L52:P52)</f>
        <v>313530.63</v>
      </c>
      <c r="S52" s="87"/>
    </row>
    <row r="53" spans="1:26" s="82" customFormat="1" ht="119.25" hidden="1" customHeight="1" x14ac:dyDescent="1.85">
      <c r="B53" s="196"/>
      <c r="C53" s="183"/>
      <c r="E53" s="490"/>
      <c r="F53" s="490"/>
      <c r="G53" s="240"/>
      <c r="H53" s="90" t="s">
        <v>319</v>
      </c>
      <c r="I53" s="90"/>
      <c r="L53" s="173">
        <v>27000</v>
      </c>
      <c r="M53" s="173">
        <f>+M48</f>
        <v>92152</v>
      </c>
      <c r="N53" s="174">
        <f>+N48</f>
        <v>46200</v>
      </c>
      <c r="O53" s="174">
        <f>+O48</f>
        <v>87374</v>
      </c>
      <c r="P53" s="174">
        <f>+P48</f>
        <v>23717</v>
      </c>
      <c r="Q53" s="181">
        <f>SUM(L53:P53)</f>
        <v>276443</v>
      </c>
      <c r="S53" s="85"/>
    </row>
    <row r="54" spans="1:26" s="82" customFormat="1" ht="119.25" hidden="1" customHeight="1" x14ac:dyDescent="1.85">
      <c r="B54" s="196"/>
      <c r="C54" s="183"/>
      <c r="E54" s="490"/>
      <c r="F54" s="490"/>
      <c r="G54" s="240"/>
      <c r="H54" s="90" t="s">
        <v>320</v>
      </c>
      <c r="I54" s="90"/>
      <c r="L54" s="176">
        <f>+L52-L53</f>
        <v>284114.19</v>
      </c>
      <c r="M54" s="176">
        <f>SUM(M53:M53)</f>
        <v>92152</v>
      </c>
      <c r="N54" s="176">
        <f>SUM(N53:N53)</f>
        <v>46200</v>
      </c>
      <c r="O54" s="176">
        <f>SUM(O53:O53)</f>
        <v>87374</v>
      </c>
      <c r="P54" s="176">
        <f>SUM(P53:P53)</f>
        <v>23717</v>
      </c>
      <c r="Q54" s="177">
        <f>SUM(L54:P54)</f>
        <v>533557.18999999994</v>
      </c>
      <c r="S54" s="85"/>
    </row>
    <row r="55" spans="1:26" s="82" customFormat="1" ht="106.5" hidden="1" customHeight="1" x14ac:dyDescent="1.9">
      <c r="B55" s="206"/>
      <c r="C55" s="183"/>
      <c r="E55" s="491"/>
      <c r="F55" s="491"/>
      <c r="G55" s="240"/>
      <c r="H55" s="90" t="s">
        <v>321</v>
      </c>
      <c r="I55" s="90"/>
      <c r="L55" s="175"/>
      <c r="M55" s="175">
        <f>+M53</f>
        <v>92152</v>
      </c>
      <c r="N55" s="175">
        <f>+N53</f>
        <v>46200</v>
      </c>
      <c r="O55" s="175">
        <f>+O53</f>
        <v>87374</v>
      </c>
      <c r="P55" s="175">
        <f>+P53</f>
        <v>23717</v>
      </c>
      <c r="Q55" s="178">
        <f>SUM(M55:P55)</f>
        <v>249443</v>
      </c>
    </row>
    <row r="56" spans="1:26" s="82" customFormat="1" ht="109.5" hidden="1" customHeight="1" thickBot="1" x14ac:dyDescent="1.95">
      <c r="A56" s="88"/>
      <c r="B56" s="196"/>
      <c r="C56" s="183"/>
      <c r="E56" s="490"/>
      <c r="F56" s="490"/>
      <c r="G56" s="240"/>
      <c r="H56" s="182" t="s">
        <v>257</v>
      </c>
      <c r="I56" s="182"/>
      <c r="L56" s="190">
        <f t="shared" ref="L56:P56" si="17">+L52+L53-L55</f>
        <v>338114.19</v>
      </c>
      <c r="M56" s="190">
        <f t="shared" si="17"/>
        <v>891.10000000000582</v>
      </c>
      <c r="N56" s="190">
        <f t="shared" si="17"/>
        <v>488.62000000000262</v>
      </c>
      <c r="O56" s="190">
        <f t="shared" si="17"/>
        <v>536.72000000000116</v>
      </c>
      <c r="P56" s="190">
        <f t="shared" si="17"/>
        <v>500</v>
      </c>
      <c r="Q56" s="190">
        <f>+Q52+Q53-Q55</f>
        <v>340530.63</v>
      </c>
      <c r="R56" s="85">
        <f>+L56+M56+N56+O56+P56-Q56</f>
        <v>0</v>
      </c>
      <c r="S56" s="89"/>
    </row>
    <row r="57" spans="1:26" s="82" customFormat="1" ht="93.75" hidden="1" x14ac:dyDescent="1.9">
      <c r="A57" s="88"/>
      <c r="B57" s="196"/>
      <c r="C57" s="183"/>
      <c r="E57" s="490"/>
      <c r="F57" s="490"/>
      <c r="G57" s="240"/>
      <c r="H57" s="182"/>
      <c r="I57" s="182"/>
      <c r="K57" s="205"/>
      <c r="L57" s="205"/>
      <c r="M57" s="205"/>
      <c r="N57" s="205"/>
      <c r="O57" s="205"/>
      <c r="P57" s="205"/>
      <c r="R57" s="89"/>
    </row>
    <row r="58" spans="1:26" s="82" customFormat="1" hidden="1" x14ac:dyDescent="2">
      <c r="A58" s="75"/>
      <c r="B58" s="197"/>
      <c r="C58" s="183"/>
      <c r="E58" s="492"/>
      <c r="F58" s="492"/>
      <c r="G58" s="76"/>
      <c r="J58" s="77"/>
      <c r="K58" s="77"/>
      <c r="L58" s="171"/>
      <c r="M58" s="171"/>
      <c r="N58" s="171"/>
      <c r="O58" s="77"/>
      <c r="P58" s="77"/>
      <c r="Q58" s="77"/>
      <c r="R58" s="77"/>
      <c r="S58" s="77"/>
      <c r="T58" s="75"/>
      <c r="U58" s="169"/>
      <c r="V58" s="75"/>
    </row>
    <row r="59" spans="1:26" ht="117.75" hidden="1" customHeight="1" x14ac:dyDescent="2">
      <c r="C59" s="484"/>
      <c r="D59" s="484"/>
      <c r="E59" s="76"/>
      <c r="F59" s="76"/>
      <c r="G59" s="76"/>
      <c r="V59" s="169"/>
    </row>
    <row r="60" spans="1:26" ht="117.75" hidden="1" customHeight="1" x14ac:dyDescent="2">
      <c r="C60" s="78"/>
      <c r="E60" s="76"/>
      <c r="F60" s="76"/>
      <c r="G60" s="76"/>
      <c r="K60" s="77">
        <f>+L56-338114.19</f>
        <v>0</v>
      </c>
      <c r="N60" s="77">
        <f>+O56-536.72</f>
        <v>1.1368683772161603E-12</v>
      </c>
      <c r="O60" s="77">
        <f>+P56-500</f>
        <v>0</v>
      </c>
    </row>
    <row r="61" spans="1:26" hidden="1" x14ac:dyDescent="2">
      <c r="E61" s="76"/>
      <c r="F61" s="76"/>
      <c r="G61" s="76"/>
    </row>
    <row r="62" spans="1:26" x14ac:dyDescent="2">
      <c r="E62" s="76"/>
      <c r="F62" s="76"/>
      <c r="G62" s="76"/>
    </row>
    <row r="63" spans="1:26" x14ac:dyDescent="2">
      <c r="K63" s="79"/>
    </row>
    <row r="64" spans="1:26" s="77" customFormat="1" x14ac:dyDescent="2">
      <c r="A64" s="75"/>
      <c r="B64" s="75"/>
      <c r="C64" s="80"/>
      <c r="D64" s="80"/>
      <c r="T64" s="75"/>
      <c r="U64" s="75"/>
      <c r="V64" s="167"/>
      <c r="W64" s="75"/>
      <c r="X64" s="75"/>
      <c r="Y64" s="75"/>
      <c r="Z64" s="75"/>
    </row>
  </sheetData>
  <mergeCells count="25">
    <mergeCell ref="C59:D59"/>
    <mergeCell ref="A48:C48"/>
    <mergeCell ref="B50:F50"/>
    <mergeCell ref="K50:P50"/>
    <mergeCell ref="E51:F51"/>
    <mergeCell ref="E52:F52"/>
    <mergeCell ref="E53:F53"/>
    <mergeCell ref="E54:F54"/>
    <mergeCell ref="E55:F55"/>
    <mergeCell ref="E56:F56"/>
    <mergeCell ref="E57:F57"/>
    <mergeCell ref="E58:F58"/>
    <mergeCell ref="A47:C47"/>
    <mergeCell ref="A1:P1"/>
    <mergeCell ref="A2:P2"/>
    <mergeCell ref="A4:A5"/>
    <mergeCell ref="B4:B5"/>
    <mergeCell ref="C4:C5"/>
    <mergeCell ref="E4:K4"/>
    <mergeCell ref="E24:K24"/>
    <mergeCell ref="A12:C12"/>
    <mergeCell ref="A14:C14"/>
    <mergeCell ref="E20:K20"/>
    <mergeCell ref="E23:K23"/>
    <mergeCell ref="A31:C31"/>
  </mergeCells>
  <pageMargins left="0.15748031496062992" right="3.937007874015748E-2" top="0.19" bottom="0.17" header="0.15748031496062992" footer="0.17"/>
  <pageSetup paperSize="5" scale="20" orientation="landscape" verticalDpi="0" r:id="rId1"/>
  <rowBreaks count="2" manualBreakCount="2">
    <brk id="59" max="17" man="1"/>
    <brk id="6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20</vt:i4>
      </vt:variant>
    </vt:vector>
  </HeadingPairs>
  <TitlesOfParts>
    <vt:vector size="33" baseType="lpstr">
      <vt:lpstr>ที่ดินให้เช่าของกรรมการ 69</vt:lpstr>
      <vt:lpstr>ค่าเช่าซอยมายเฮ้าส์</vt:lpstr>
      <vt:lpstr>ที่ดินไม่มีผู้เช่า</vt:lpstr>
      <vt:lpstr>สรุป5-69</vt:lpstr>
      <vt:lpstr>สรุป 4-69</vt:lpstr>
      <vt:lpstr>สรุป 3-69</vt:lpstr>
      <vt:lpstr>สรุป 2-69</vt:lpstr>
      <vt:lpstr>สรุป 1-69</vt:lpstr>
      <vt:lpstr>5-69</vt:lpstr>
      <vt:lpstr>4-69</vt:lpstr>
      <vt:lpstr>3-69</vt:lpstr>
      <vt:lpstr>2-69</vt:lpstr>
      <vt:lpstr>1-69</vt:lpstr>
      <vt:lpstr>'1-69'!Print_Area</vt:lpstr>
      <vt:lpstr>'2-69'!Print_Area</vt:lpstr>
      <vt:lpstr>'3-69'!Print_Area</vt:lpstr>
      <vt:lpstr>'4-69'!Print_Area</vt:lpstr>
      <vt:lpstr>'5-69'!Print_Area</vt:lpstr>
      <vt:lpstr>ค่าเช่าซอยมายเฮ้าส์!Print_Area</vt:lpstr>
      <vt:lpstr>ที่ดินไม่มีผู้เช่า!Print_Area</vt:lpstr>
      <vt:lpstr>'ที่ดินให้เช่าของกรรมการ 69'!Print_Area</vt:lpstr>
      <vt:lpstr>'สรุป 1-69'!Print_Area</vt:lpstr>
      <vt:lpstr>'สรุป 2-69'!Print_Area</vt:lpstr>
      <vt:lpstr>'สรุป 3-69'!Print_Area</vt:lpstr>
      <vt:lpstr>'สรุป 4-69'!Print_Area</vt:lpstr>
      <vt:lpstr>'สรุป5-69'!Print_Area</vt:lpstr>
      <vt:lpstr>'1-69'!Print_Titles</vt:lpstr>
      <vt:lpstr>'2-69'!Print_Titles</vt:lpstr>
      <vt:lpstr>'3-69'!Print_Titles</vt:lpstr>
      <vt:lpstr>'4-69'!Print_Titles</vt:lpstr>
      <vt:lpstr>'5-69'!Print_Titles</vt:lpstr>
      <vt:lpstr>ที่ดินไม่มีผู้เช่า!Print_Titles</vt:lpstr>
      <vt:lpstr>'ที่ดินให้เช่าของกรรมการ 69'!Print_Titles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admin24</dc:creator>
  <cp:lastModifiedBy>SN-AC-01</cp:lastModifiedBy>
  <cp:lastPrinted>2026-05-22T08:45:36Z</cp:lastPrinted>
  <dcterms:created xsi:type="dcterms:W3CDTF">2017-09-27T04:45:03Z</dcterms:created>
  <dcterms:modified xsi:type="dcterms:W3CDTF">2026-05-27T03:15:05Z</dcterms:modified>
</cp:coreProperties>
</file>